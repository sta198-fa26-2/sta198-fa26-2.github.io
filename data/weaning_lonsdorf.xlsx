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ahh24/Documents/sta198-fa26-2.github.io/data/"/>
    </mc:Choice>
  </mc:AlternateContent>
  <xr:revisionPtr revIDLastSave="0" documentId="8_{963CFD3A-5DCE-6E47-829D-BD22199D4B6E}" xr6:coauthVersionLast="47" xr6:coauthVersionMax="47" xr10:uidLastSave="{00000000-0000-0000-0000-000000000000}"/>
  <bookViews>
    <workbookView xWindow="1740" yWindow="2880" windowWidth="29040" windowHeight="15720" activeTab="1" xr2:uid="{00000000-000D-0000-FFFF-FFFF00000000}"/>
  </bookViews>
  <sheets>
    <sheet name="Data" sheetId="1" r:id="rId1"/>
    <sheet name="Column defini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30" i="1"/>
  <c r="H55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2" i="1"/>
  <c r="K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2" i="1"/>
  <c r="H66" i="1"/>
  <c r="J66" i="1" s="1"/>
  <c r="K66" i="1" s="1"/>
  <c r="H65" i="1"/>
  <c r="J65" i="1" s="1"/>
  <c r="K65" i="1" s="1"/>
  <c r="H64" i="1"/>
  <c r="J64" i="1" s="1"/>
  <c r="K64" i="1" s="1"/>
  <c r="H63" i="1"/>
  <c r="J63" i="1" s="1"/>
  <c r="K63" i="1" s="1"/>
  <c r="H62" i="1"/>
  <c r="J62" i="1" s="1"/>
  <c r="K62" i="1" s="1"/>
  <c r="H61" i="1"/>
  <c r="J61" i="1" s="1"/>
  <c r="K61" i="1" s="1"/>
  <c r="H60" i="1"/>
  <c r="J60" i="1" s="1"/>
  <c r="K60" i="1" s="1"/>
  <c r="H59" i="1"/>
  <c r="J59" i="1" s="1"/>
  <c r="K59" i="1" s="1"/>
  <c r="H58" i="1"/>
  <c r="J58" i="1" s="1"/>
  <c r="K58" i="1" s="1"/>
  <c r="H57" i="1"/>
  <c r="J57" i="1" s="1"/>
  <c r="K57" i="1" s="1"/>
  <c r="H56" i="1"/>
  <c r="J56" i="1" s="1"/>
  <c r="K56" i="1" s="1"/>
  <c r="J55" i="1"/>
  <c r="K55" i="1" s="1"/>
  <c r="H54" i="1"/>
  <c r="J54" i="1" s="1"/>
  <c r="K54" i="1" s="1"/>
  <c r="H53" i="1"/>
  <c r="J53" i="1" s="1"/>
  <c r="K53" i="1" s="1"/>
  <c r="H52" i="1"/>
  <c r="J52" i="1" s="1"/>
  <c r="K52" i="1" s="1"/>
  <c r="H51" i="1"/>
  <c r="J51" i="1" s="1"/>
  <c r="K51" i="1" s="1"/>
  <c r="H50" i="1"/>
  <c r="J50" i="1" s="1"/>
  <c r="K50" i="1" s="1"/>
  <c r="H49" i="1"/>
  <c r="J49" i="1" s="1"/>
  <c r="K49" i="1" s="1"/>
  <c r="H48" i="1"/>
  <c r="J48" i="1" s="1"/>
  <c r="K48" i="1" s="1"/>
  <c r="H47" i="1"/>
  <c r="J47" i="1" s="1"/>
  <c r="K47" i="1" s="1"/>
  <c r="H46" i="1"/>
  <c r="J46" i="1" s="1"/>
  <c r="K46" i="1" s="1"/>
  <c r="H45" i="1"/>
  <c r="J45" i="1" s="1"/>
  <c r="K45" i="1" s="1"/>
  <c r="H44" i="1"/>
  <c r="J44" i="1" s="1"/>
  <c r="K44" i="1" s="1"/>
  <c r="H43" i="1"/>
  <c r="J43" i="1" s="1"/>
  <c r="K43" i="1" s="1"/>
  <c r="H42" i="1"/>
  <c r="J42" i="1" s="1"/>
  <c r="K42" i="1" s="1"/>
  <c r="H41" i="1"/>
  <c r="J41" i="1" s="1"/>
  <c r="K41" i="1" s="1"/>
  <c r="H40" i="1"/>
  <c r="J40" i="1" s="1"/>
  <c r="K40" i="1" s="1"/>
  <c r="H39" i="1"/>
  <c r="J39" i="1" s="1"/>
  <c r="K39" i="1" s="1"/>
  <c r="H38" i="1"/>
  <c r="J38" i="1" s="1"/>
  <c r="K38" i="1" s="1"/>
  <c r="H37" i="1"/>
  <c r="J37" i="1" s="1"/>
  <c r="K37" i="1" s="1"/>
  <c r="J36" i="1"/>
  <c r="K36" i="1" s="1"/>
  <c r="H35" i="1"/>
  <c r="J35" i="1" s="1"/>
  <c r="K35" i="1" s="1"/>
  <c r="H34" i="1"/>
  <c r="J34" i="1" s="1"/>
  <c r="K34" i="1" s="1"/>
  <c r="H33" i="1"/>
  <c r="J33" i="1" s="1"/>
  <c r="K33" i="1" s="1"/>
  <c r="H32" i="1"/>
  <c r="J32" i="1" s="1"/>
  <c r="K32" i="1" s="1"/>
  <c r="H31" i="1"/>
  <c r="J31" i="1" s="1"/>
  <c r="K31" i="1" s="1"/>
  <c r="H30" i="1"/>
  <c r="J30" i="1" s="1"/>
  <c r="K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V. Lonsdorf</author>
  </authors>
  <commentList>
    <comment ref="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Elizabeth V. Lonsdorf:</t>
        </r>
        <r>
          <rPr>
            <sz val="9"/>
            <color indexed="81"/>
            <rFont val="Tahoma"/>
            <family val="2"/>
          </rPr>
          <t xml:space="preserve">
midpoint not used if window between follows larger than 90 days</t>
        </r>
      </text>
    </comment>
  </commentList>
</comments>
</file>

<file path=xl/sharedStrings.xml><?xml version="1.0" encoding="utf-8"?>
<sst xmlns="http://schemas.openxmlformats.org/spreadsheetml/2006/main" count="373" uniqueCount="151">
  <si>
    <t>id</t>
  </si>
  <si>
    <t>momid</t>
  </si>
  <si>
    <t>MomB_Birthdate</t>
  </si>
  <si>
    <t>momagebirth</t>
  </si>
  <si>
    <t>last_nursedate</t>
  </si>
  <si>
    <t>next_follow</t>
  </si>
  <si>
    <t>no_daysuntil_nextfollow</t>
  </si>
  <si>
    <t>midpoint</t>
  </si>
  <si>
    <t>weaned</t>
  </si>
  <si>
    <t>weanedage_days</t>
  </si>
  <si>
    <t>weanedage_yrs</t>
  </si>
  <si>
    <t>B_Sex</t>
  </si>
  <si>
    <t>B_FirstBorn</t>
  </si>
  <si>
    <t>B_Birthdate</t>
  </si>
  <si>
    <t>B_Departdate</t>
  </si>
  <si>
    <t>CardinalRanksMathias</t>
  </si>
  <si>
    <t>Case specific notes</t>
  </si>
  <si>
    <t>AO</t>
  </si>
  <si>
    <t>AT</t>
  </si>
  <si>
    <t>na</t>
  </si>
  <si>
    <t>M</t>
  </si>
  <si>
    <t>N</t>
  </si>
  <si>
    <t xml:space="preserve">window too big, Ariadne born July 1985, Mom died 4/4/87 </t>
  </si>
  <si>
    <t>BAL</t>
  </si>
  <si>
    <t>BAH</t>
  </si>
  <si>
    <t>F</t>
  </si>
  <si>
    <t>Y</t>
  </si>
  <si>
    <t>still nursing on 8/28/2018 MI follow</t>
  </si>
  <si>
    <t>COC</t>
  </si>
  <si>
    <t>CD</t>
  </si>
  <si>
    <t>included as censored, died within 6 months of last nurse date and not seen in between</t>
  </si>
  <si>
    <t>CN</t>
  </si>
  <si>
    <t>window too big for midpoint, include as censored</t>
  </si>
  <si>
    <t>ESP</t>
  </si>
  <si>
    <t>EZA</t>
  </si>
  <si>
    <t>still nursing on 8/17/2018 MI follow</t>
  </si>
  <si>
    <t>ERI</t>
  </si>
  <si>
    <t>FN</t>
  </si>
  <si>
    <t>FF</t>
  </si>
  <si>
    <t>FIC</t>
  </si>
  <si>
    <t>still nursing on 8/14/2018 MI follow</t>
  </si>
  <si>
    <t>FFT</t>
  </si>
  <si>
    <t>GAB</t>
  </si>
  <si>
    <t>GA</t>
  </si>
  <si>
    <t>still nursing on 8/15/2018 MI follow</t>
  </si>
  <si>
    <t>GLA</t>
  </si>
  <si>
    <t>GLD</t>
  </si>
  <si>
    <t>no nursing after 7/11/16, Ghuhurubu born: 21-Dec-2016</t>
  </si>
  <si>
    <t>GRE</t>
  </si>
  <si>
    <t>GM</t>
  </si>
  <si>
    <t>still nursing on 8/13/2018 MI follow</t>
  </si>
  <si>
    <t>GIZ</t>
  </si>
  <si>
    <t>GT</t>
  </si>
  <si>
    <t>include as censored; mom rank: GT (bdate: 21-May-82): used GM's first ranking from 18-Nov-82</t>
  </si>
  <si>
    <t>IPO</t>
  </si>
  <si>
    <t>IMA</t>
  </si>
  <si>
    <t>JK</t>
  </si>
  <si>
    <t>JF</t>
  </si>
  <si>
    <t>KS</t>
  </si>
  <si>
    <t>KD</t>
  </si>
  <si>
    <t>window too big for midpoint, include as censored,  Kenitum born: 15-Jul-1989</t>
  </si>
  <si>
    <t>KEA</t>
  </si>
  <si>
    <t>KP</t>
  </si>
  <si>
    <t>window too big for midpoint, include as censored, KP died 27 Jan 2013</t>
  </si>
  <si>
    <t>DB</t>
  </si>
  <si>
    <t>LB</t>
  </si>
  <si>
    <t>MAM</t>
  </si>
  <si>
    <t>MAK</t>
  </si>
  <si>
    <t>include and censor, no subsequent follows,  Malaika dies in 2010, Mambo in 2011</t>
  </si>
  <si>
    <t>TZN</t>
  </si>
  <si>
    <t>PI</t>
  </si>
  <si>
    <t>include and censor, Patti dies in October of 2005</t>
  </si>
  <si>
    <t>PF</t>
  </si>
  <si>
    <t>PS</t>
  </si>
  <si>
    <t>SAM</t>
  </si>
  <si>
    <t>SA</t>
  </si>
  <si>
    <t>SL</t>
  </si>
  <si>
    <t>SW</t>
  </si>
  <si>
    <t>window too big for midpoint, include as censored,  Steve born: 07-May-1989</t>
  </si>
  <si>
    <t>SDB</t>
  </si>
  <si>
    <t>TOF</t>
  </si>
  <si>
    <t>TTA</t>
  </si>
  <si>
    <t>included but censored; killed June 2004</t>
  </si>
  <si>
    <t>ZIN</t>
  </si>
  <si>
    <t>TZ</t>
  </si>
  <si>
    <t>ZEL</t>
  </si>
  <si>
    <t>window too big for midpoint, include as censored, Zinda born: 16-Oct-2005</t>
  </si>
  <si>
    <t>AP</t>
  </si>
  <si>
    <t>BAS</t>
  </si>
  <si>
    <t>BRZ</t>
  </si>
  <si>
    <t>DIA</t>
  </si>
  <si>
    <t>DL</t>
  </si>
  <si>
    <t>DUK</t>
  </si>
  <si>
    <t xml:space="preserve"> DLbaby born 1 sept 2017 and dies 6 sept 2017 but DUK still suckles until May of 2018; ran model with midpoint adjusted to DLbaby birthdate and results were the same</t>
  </si>
  <si>
    <t>FO</t>
  </si>
  <si>
    <t>FE</t>
  </si>
  <si>
    <t>FLI</t>
  </si>
  <si>
    <t>FR</t>
  </si>
  <si>
    <t>FAD</t>
  </si>
  <si>
    <t>weaned before 1036 days, but include, Fifti born 16-Sep-2010</t>
  </si>
  <si>
    <t>FU</t>
  </si>
  <si>
    <t>FAM</t>
  </si>
  <si>
    <t>FND</t>
  </si>
  <si>
    <t>FX</t>
  </si>
  <si>
    <t>mom rank: FX (bdate: 29-Apr-92): used FN’s first ranking from 21-Mar-93</t>
  </si>
  <si>
    <t>GGL</t>
  </si>
  <si>
    <t>GOS</t>
  </si>
  <si>
    <t>GLI</t>
  </si>
  <si>
    <t>GD</t>
  </si>
  <si>
    <t>GIM</t>
  </si>
  <si>
    <t>TB</t>
  </si>
  <si>
    <t>MO</t>
  </si>
  <si>
    <t>MF</t>
  </si>
  <si>
    <t>NYO</t>
  </si>
  <si>
    <t>NUR</t>
  </si>
  <si>
    <t>TT</t>
  </si>
  <si>
    <t>TG</t>
  </si>
  <si>
    <t>TI</t>
  </si>
  <si>
    <t>TN</t>
  </si>
  <si>
    <t>KR</t>
  </si>
  <si>
    <t>PL</t>
  </si>
  <si>
    <t>PX</t>
  </si>
  <si>
    <t>SN</t>
  </si>
  <si>
    <t>SIR</t>
  </si>
  <si>
    <t>this is real, we checked it - is Sandi ever going to have another baby?? Maybe this is why she steals</t>
  </si>
  <si>
    <t>SR</t>
  </si>
  <si>
    <t>SHW</t>
  </si>
  <si>
    <t>SI</t>
  </si>
  <si>
    <t>TAB</t>
  </si>
  <si>
    <t>TOM</t>
  </si>
  <si>
    <t>mom rank: TOM (bdate: 7-Mar-01): used TG’s first ranking from 22-Apr-01</t>
  </si>
  <si>
    <t>WN</t>
  </si>
  <si>
    <t>WK</t>
  </si>
  <si>
    <t>WL</t>
  </si>
  <si>
    <t>Column ID</t>
  </si>
  <si>
    <t>Definition</t>
  </si>
  <si>
    <t>2 or 3 letter code for identifying mother</t>
  </si>
  <si>
    <t>2 or 3 letter code for identifying offspring</t>
  </si>
  <si>
    <t>mother's birthdate</t>
  </si>
  <si>
    <t>date of last recorded nursing</t>
  </si>
  <si>
    <t>date of next fellow</t>
  </si>
  <si>
    <t>date of the midpoint between last nurse date and next follow; not used if the window between dates is over 90 days (na)</t>
  </si>
  <si>
    <t>1=achieved event (weaning), 0=censored</t>
  </si>
  <si>
    <t>last_nurse_date - infant birthdate in days</t>
  </si>
  <si>
    <t>last_nurse_date - infant birthdate in years</t>
  </si>
  <si>
    <t>offspring sex</t>
  </si>
  <si>
    <t>Y=offspring is a firstborn, N=offspring is not a firstborn</t>
  </si>
  <si>
    <t>birthdate of offspring</t>
  </si>
  <si>
    <t>date offspring left the community (either via death or end of census)</t>
  </si>
  <si>
    <t>mother's dominance rank at birth</t>
  </si>
  <si>
    <t>mother's age at target offspring birth (in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</si>
</sst>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"/>
    <numFmt numFmtId="166" formatCode="[$-409]d\-mmm\-yy;@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2" xfId="1" applyFont="1" applyBorder="1" applyAlignment="1">
      <alignment wrapText="1"/>
    </xf>
    <xf numFmtId="164" fontId="2" fillId="0" borderId="2" xfId="1" applyNumberFormat="1" applyFont="1" applyBorder="1" applyAlignment="1">
      <alignment horizontal="right" wrapText="1"/>
    </xf>
    <xf numFmtId="2" fontId="2" fillId="4" borderId="2" xfId="1" applyNumberFormat="1" applyFont="1" applyFill="1" applyBorder="1" applyAlignment="1">
      <alignment horizontal="right" wrapText="1"/>
    </xf>
    <xf numFmtId="165" fontId="2" fillId="0" borderId="2" xfId="1" applyNumberFormat="1" applyFont="1" applyBorder="1" applyAlignment="1">
      <alignment horizontal="right" wrapText="1"/>
    </xf>
    <xf numFmtId="0" fontId="2" fillId="0" borderId="2" xfId="1" applyFont="1" applyBorder="1" applyAlignment="1">
      <alignment horizontal="right" wrapText="1"/>
    </xf>
    <xf numFmtId="0" fontId="2" fillId="4" borderId="2" xfId="1" applyFont="1" applyFill="1" applyBorder="1" applyAlignment="1">
      <alignment horizontal="right" wrapText="1"/>
    </xf>
    <xf numFmtId="0" fontId="1" fillId="0" borderId="0" xfId="1"/>
    <xf numFmtId="0" fontId="2" fillId="4" borderId="2" xfId="1" applyFont="1" applyFill="1" applyBorder="1" applyAlignment="1">
      <alignment wrapText="1"/>
    </xf>
    <xf numFmtId="0" fontId="1" fillId="0" borderId="2" xfId="1" applyBorder="1"/>
    <xf numFmtId="0" fontId="1" fillId="4" borderId="2" xfId="1" applyFill="1" applyBorder="1"/>
    <xf numFmtId="0" fontId="2" fillId="0" borderId="0" xfId="1" applyFont="1" applyAlignment="1">
      <alignment horizontal="right" wrapText="1"/>
    </xf>
    <xf numFmtId="165" fontId="2" fillId="0" borderId="0" xfId="1" applyNumberFormat="1" applyFont="1" applyAlignment="1">
      <alignment horizontal="right" wrapText="1"/>
    </xf>
    <xf numFmtId="0" fontId="1" fillId="4" borderId="0" xfId="1" applyFill="1"/>
    <xf numFmtId="0" fontId="2" fillId="4" borderId="0" xfId="1" applyFont="1" applyFill="1" applyAlignment="1">
      <alignment horizontal="right" wrapText="1"/>
    </xf>
    <xf numFmtId="15" fontId="1" fillId="0" borderId="0" xfId="1" applyNumberFormat="1"/>
    <xf numFmtId="2" fontId="0" fillId="4" borderId="0" xfId="0" applyNumberFormat="1" applyFill="1"/>
    <xf numFmtId="0" fontId="0" fillId="4" borderId="0" xfId="0" applyFill="1"/>
    <xf numFmtId="0" fontId="0" fillId="0" borderId="0" xfId="0" applyAlignment="1">
      <alignment vertical="center"/>
    </xf>
    <xf numFmtId="166" fontId="2" fillId="0" borderId="2" xfId="1" applyNumberFormat="1" applyFont="1" applyBorder="1" applyAlignment="1">
      <alignment horizontal="right" wrapText="1"/>
    </xf>
    <xf numFmtId="0" fontId="2" fillId="2" borderId="1" xfId="1" applyFont="1" applyFill="1" applyBorder="1" applyAlignment="1">
      <alignment horizontal="left"/>
    </xf>
    <xf numFmtId="2" fontId="2" fillId="3" borderId="1" xfId="1" applyNumberFormat="1" applyFont="1" applyFill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2" xfId="1" applyFont="1" applyBorder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2" fillId="4" borderId="1" xfId="1" applyFont="1" applyFill="1" applyBorder="1" applyAlignment="1">
      <alignment horizontal="left"/>
    </xf>
    <xf numFmtId="0" fontId="2" fillId="3" borderId="3" xfId="1" applyFont="1" applyFill="1" applyBorder="1"/>
    <xf numFmtId="0" fontId="2" fillId="0" borderId="3" xfId="1" applyFont="1" applyBorder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workbookViewId="0">
      <selection activeCell="D2" sqref="D2"/>
    </sheetView>
  </sheetViews>
  <sheetFormatPr baseColWidth="10" defaultColWidth="8.83203125" defaultRowHeight="15" x14ac:dyDescent="0.2"/>
  <cols>
    <col min="3" max="3" width="11.83203125" customWidth="1"/>
    <col min="4" max="4" width="9.1640625" style="16" customWidth="1"/>
    <col min="5" max="5" width="13.33203125" customWidth="1"/>
    <col min="6" max="6" width="11.5" customWidth="1"/>
    <col min="7" max="7" width="5.5" customWidth="1"/>
    <col min="8" max="8" width="10.5" customWidth="1"/>
    <col min="9" max="10" width="8.6640625" style="17"/>
    <col min="11" max="11" width="11.5" bestFit="1" customWidth="1"/>
    <col min="12" max="13" width="8.6640625" style="17"/>
    <col min="14" max="14" width="10.5" bestFit="1" customWidth="1"/>
    <col min="15" max="15" width="12.5" bestFit="1" customWidth="1"/>
    <col min="16" max="16" width="11.5" style="17" bestFit="1" customWidth="1"/>
    <col min="17" max="17" width="8.6640625" style="18"/>
  </cols>
  <sheetData>
    <row r="1" spans="1:17" s="23" customFormat="1" ht="17.5" customHeight="1" x14ac:dyDescent="0.2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7" t="s">
        <v>7</v>
      </c>
      <c r="I1" s="22" t="s">
        <v>8</v>
      </c>
      <c r="J1" s="22" t="s">
        <v>9</v>
      </c>
      <c r="K1" s="27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8" t="s">
        <v>16</v>
      </c>
    </row>
    <row r="2" spans="1:17" ht="16" customHeight="1" x14ac:dyDescent="0.2">
      <c r="A2" s="1" t="s">
        <v>17</v>
      </c>
      <c r="B2" s="1" t="s">
        <v>18</v>
      </c>
      <c r="C2" s="2">
        <v>19177</v>
      </c>
      <c r="D2" s="3">
        <f t="shared" ref="D2:D33" si="0">(N2-C2)</f>
        <v>9712</v>
      </c>
      <c r="E2" s="4">
        <v>30641</v>
      </c>
      <c r="F2" s="4">
        <v>32067</v>
      </c>
      <c r="G2" s="5">
        <v>1426</v>
      </c>
      <c r="H2" s="5" t="s">
        <v>19</v>
      </c>
      <c r="I2" s="8">
        <v>0</v>
      </c>
      <c r="J2" s="6">
        <f t="shared" ref="J2:J29" si="1">E2-N2</f>
        <v>1752</v>
      </c>
      <c r="K2" s="5">
        <f>J2/365.25</f>
        <v>4.7967145790554415</v>
      </c>
      <c r="L2" s="8" t="s">
        <v>20</v>
      </c>
      <c r="M2" s="8" t="s">
        <v>21</v>
      </c>
      <c r="N2" s="4">
        <v>28889</v>
      </c>
      <c r="O2" s="4">
        <v>41444</v>
      </c>
      <c r="P2" s="6">
        <v>0.47896319100000001</v>
      </c>
      <c r="Q2" s="25" t="s">
        <v>22</v>
      </c>
    </row>
    <row r="3" spans="1:17" ht="16" customHeight="1" x14ac:dyDescent="0.2">
      <c r="A3" s="1" t="s">
        <v>23</v>
      </c>
      <c r="B3" s="1" t="s">
        <v>24</v>
      </c>
      <c r="C3" s="2">
        <v>32326</v>
      </c>
      <c r="D3" s="3">
        <f t="shared" si="0"/>
        <v>9874</v>
      </c>
      <c r="E3" s="4">
        <v>43340</v>
      </c>
      <c r="F3" s="9"/>
      <c r="G3" s="9"/>
      <c r="H3" s="5" t="s">
        <v>19</v>
      </c>
      <c r="I3" s="8">
        <v>0</v>
      </c>
      <c r="J3" s="6">
        <f t="shared" si="1"/>
        <v>1140</v>
      </c>
      <c r="K3" s="5">
        <f t="shared" ref="K3:K66" si="2">J3/365.25</f>
        <v>3.1211498973305956</v>
      </c>
      <c r="L3" s="8" t="s">
        <v>25</v>
      </c>
      <c r="M3" s="8" t="s">
        <v>26</v>
      </c>
      <c r="N3" s="4">
        <v>42200</v>
      </c>
      <c r="O3" s="4">
        <v>43131</v>
      </c>
      <c r="P3" s="10">
        <v>0.49091003799999999</v>
      </c>
      <c r="Q3" s="25" t="s">
        <v>27</v>
      </c>
    </row>
    <row r="4" spans="1:17" ht="16" customHeight="1" x14ac:dyDescent="0.2">
      <c r="A4" s="1" t="s">
        <v>28</v>
      </c>
      <c r="B4" s="1" t="s">
        <v>29</v>
      </c>
      <c r="C4" s="2">
        <v>25386</v>
      </c>
      <c r="D4" s="3">
        <f t="shared" si="0"/>
        <v>12798</v>
      </c>
      <c r="E4" s="4">
        <v>39316</v>
      </c>
      <c r="F4" s="9"/>
      <c r="G4" s="9"/>
      <c r="H4" s="5" t="s">
        <v>19</v>
      </c>
      <c r="I4" s="8">
        <v>0</v>
      </c>
      <c r="J4" s="6">
        <f t="shared" si="1"/>
        <v>1132</v>
      </c>
      <c r="K4" s="5">
        <f t="shared" si="2"/>
        <v>3.0992470910335386</v>
      </c>
      <c r="L4" s="8" t="s">
        <v>25</v>
      </c>
      <c r="M4" s="8" t="s">
        <v>21</v>
      </c>
      <c r="N4" s="4">
        <v>38184</v>
      </c>
      <c r="O4" s="4">
        <v>39357</v>
      </c>
      <c r="P4" s="6">
        <v>0.73677728600000003</v>
      </c>
      <c r="Q4" s="24" t="s">
        <v>30</v>
      </c>
    </row>
    <row r="5" spans="1:17" ht="16" customHeight="1" x14ac:dyDescent="0.2">
      <c r="A5" s="1" t="s">
        <v>31</v>
      </c>
      <c r="B5" s="1" t="s">
        <v>29</v>
      </c>
      <c r="C5" s="2">
        <v>25386</v>
      </c>
      <c r="D5" s="3">
        <f t="shared" si="0"/>
        <v>7883</v>
      </c>
      <c r="E5" s="4">
        <v>34734</v>
      </c>
      <c r="F5" s="4">
        <v>36516</v>
      </c>
      <c r="G5" s="5">
        <v>1782</v>
      </c>
      <c r="H5" s="5" t="s">
        <v>19</v>
      </c>
      <c r="I5" s="8">
        <v>0</v>
      </c>
      <c r="J5" s="6">
        <f t="shared" si="1"/>
        <v>1465</v>
      </c>
      <c r="K5" s="5">
        <f t="shared" si="2"/>
        <v>4.0109514031485283</v>
      </c>
      <c r="L5" s="8" t="s">
        <v>25</v>
      </c>
      <c r="M5" s="8" t="s">
        <v>21</v>
      </c>
      <c r="N5" s="4">
        <v>33269</v>
      </c>
      <c r="O5" s="4">
        <v>37226</v>
      </c>
      <c r="P5" s="6">
        <v>0.33819451299999997</v>
      </c>
      <c r="Q5" s="26" t="s">
        <v>32</v>
      </c>
    </row>
    <row r="6" spans="1:17" ht="16" customHeight="1" x14ac:dyDescent="0.2">
      <c r="A6" s="1" t="s">
        <v>33</v>
      </c>
      <c r="B6" s="1" t="s">
        <v>34</v>
      </c>
      <c r="C6" s="2">
        <v>33787</v>
      </c>
      <c r="D6" s="3">
        <f t="shared" si="0"/>
        <v>8309</v>
      </c>
      <c r="E6" s="4">
        <v>43329</v>
      </c>
      <c r="F6" s="9"/>
      <c r="G6" s="9"/>
      <c r="H6" s="5" t="s">
        <v>19</v>
      </c>
      <c r="I6" s="8">
        <v>0</v>
      </c>
      <c r="J6" s="6">
        <f t="shared" si="1"/>
        <v>1233</v>
      </c>
      <c r="K6" s="5">
        <f t="shared" si="2"/>
        <v>3.375770020533881</v>
      </c>
      <c r="L6" s="8" t="s">
        <v>25</v>
      </c>
      <c r="M6" s="8" t="s">
        <v>21</v>
      </c>
      <c r="N6" s="4">
        <v>42096</v>
      </c>
      <c r="O6" s="4">
        <v>43131</v>
      </c>
      <c r="P6" s="10">
        <v>0.226189898</v>
      </c>
      <c r="Q6" s="24" t="s">
        <v>35</v>
      </c>
    </row>
    <row r="7" spans="1:17" ht="16" customHeight="1" x14ac:dyDescent="0.2">
      <c r="A7" s="1" t="s">
        <v>36</v>
      </c>
      <c r="B7" s="1" t="s">
        <v>34</v>
      </c>
      <c r="C7" s="2">
        <v>33787</v>
      </c>
      <c r="D7" s="3">
        <f t="shared" si="0"/>
        <v>5544</v>
      </c>
      <c r="E7" s="4">
        <v>40913</v>
      </c>
      <c r="F7" s="4">
        <v>41068</v>
      </c>
      <c r="G7" s="5">
        <v>155</v>
      </c>
      <c r="H7" s="5" t="s">
        <v>19</v>
      </c>
      <c r="I7" s="8">
        <v>0</v>
      </c>
      <c r="J7" s="6">
        <f t="shared" si="1"/>
        <v>1582</v>
      </c>
      <c r="K7" s="5">
        <f t="shared" si="2"/>
        <v>4.3312799452429847</v>
      </c>
      <c r="L7" s="8" t="s">
        <v>20</v>
      </c>
      <c r="M7" s="8" t="s">
        <v>26</v>
      </c>
      <c r="N7" s="4">
        <v>39331</v>
      </c>
      <c r="O7" s="4">
        <v>41501</v>
      </c>
      <c r="P7" s="6">
        <v>0.101585916</v>
      </c>
      <c r="Q7" s="26" t="s">
        <v>32</v>
      </c>
    </row>
    <row r="8" spans="1:17" ht="16" customHeight="1" x14ac:dyDescent="0.2">
      <c r="A8" s="1" t="s">
        <v>37</v>
      </c>
      <c r="B8" s="1" t="s">
        <v>38</v>
      </c>
      <c r="C8" s="2">
        <v>21368</v>
      </c>
      <c r="D8" s="3">
        <f t="shared" si="0"/>
        <v>8298</v>
      </c>
      <c r="E8" s="4">
        <v>30907</v>
      </c>
      <c r="F8" s="4">
        <v>31001</v>
      </c>
      <c r="G8" s="5">
        <v>94</v>
      </c>
      <c r="H8" s="5" t="s">
        <v>19</v>
      </c>
      <c r="I8" s="8">
        <v>0</v>
      </c>
      <c r="J8" s="6">
        <f t="shared" si="1"/>
        <v>1241</v>
      </c>
      <c r="K8" s="5">
        <f t="shared" si="2"/>
        <v>3.3976728268309375</v>
      </c>
      <c r="L8" s="8" t="s">
        <v>25</v>
      </c>
      <c r="M8" s="8" t="s">
        <v>21</v>
      </c>
      <c r="N8" s="4">
        <v>29666</v>
      </c>
      <c r="O8" s="4">
        <v>43131</v>
      </c>
      <c r="P8" s="6">
        <v>0.66567934299999998</v>
      </c>
      <c r="Q8" s="26" t="s">
        <v>32</v>
      </c>
    </row>
    <row r="9" spans="1:17" ht="16" customHeight="1" x14ac:dyDescent="0.2">
      <c r="A9" s="1" t="s">
        <v>39</v>
      </c>
      <c r="B9" s="1" t="s">
        <v>37</v>
      </c>
      <c r="C9" s="2">
        <v>29666</v>
      </c>
      <c r="D9" s="3">
        <f t="shared" si="0"/>
        <v>12548</v>
      </c>
      <c r="E9" s="4">
        <v>43326</v>
      </c>
      <c r="F9" s="9"/>
      <c r="G9" s="9"/>
      <c r="H9" s="5" t="s">
        <v>19</v>
      </c>
      <c r="I9" s="8">
        <v>0</v>
      </c>
      <c r="J9" s="6">
        <f t="shared" si="1"/>
        <v>1112</v>
      </c>
      <c r="K9" s="5">
        <f t="shared" si="2"/>
        <v>3.0444900752908968</v>
      </c>
      <c r="L9" s="8" t="s">
        <v>25</v>
      </c>
      <c r="M9" s="8" t="s">
        <v>21</v>
      </c>
      <c r="N9" s="4">
        <v>42214</v>
      </c>
      <c r="O9" s="4">
        <v>43131</v>
      </c>
      <c r="P9" s="10">
        <v>0.82373534900000001</v>
      </c>
      <c r="Q9" s="24" t="s">
        <v>40</v>
      </c>
    </row>
    <row r="10" spans="1:17" ht="16" customHeight="1" x14ac:dyDescent="0.2">
      <c r="A10" s="1" t="s">
        <v>41</v>
      </c>
      <c r="B10" s="1" t="s">
        <v>37</v>
      </c>
      <c r="C10" s="2">
        <v>29666</v>
      </c>
      <c r="D10" s="3">
        <f t="shared" si="0"/>
        <v>10771</v>
      </c>
      <c r="E10" s="4">
        <v>41700</v>
      </c>
      <c r="F10" s="12">
        <v>41814</v>
      </c>
      <c r="G10" s="11">
        <v>114</v>
      </c>
      <c r="H10" s="5" t="s">
        <v>19</v>
      </c>
      <c r="I10" s="8">
        <v>0</v>
      </c>
      <c r="J10" s="6">
        <f t="shared" si="1"/>
        <v>1263</v>
      </c>
      <c r="K10" s="5">
        <f t="shared" si="2"/>
        <v>3.4579055441478439</v>
      </c>
      <c r="L10" s="8" t="s">
        <v>20</v>
      </c>
      <c r="M10" s="8" t="s">
        <v>21</v>
      </c>
      <c r="N10" s="4">
        <v>40437</v>
      </c>
      <c r="O10" s="4">
        <v>43131</v>
      </c>
      <c r="P10" s="14">
        <v>0.83585231800000004</v>
      </c>
      <c r="Q10" s="26" t="s">
        <v>32</v>
      </c>
    </row>
    <row r="11" spans="1:17" ht="16" customHeight="1" x14ac:dyDescent="0.2">
      <c r="A11" s="1" t="s">
        <v>42</v>
      </c>
      <c r="B11" s="1" t="s">
        <v>43</v>
      </c>
      <c r="C11" s="2">
        <v>34014</v>
      </c>
      <c r="D11" s="3">
        <f t="shared" si="0"/>
        <v>8093</v>
      </c>
      <c r="E11" s="4">
        <v>43432</v>
      </c>
      <c r="F11" s="7"/>
      <c r="G11" s="7"/>
      <c r="H11" s="5" t="s">
        <v>19</v>
      </c>
      <c r="I11" s="8">
        <v>0</v>
      </c>
      <c r="J11" s="6">
        <f t="shared" si="1"/>
        <v>1325</v>
      </c>
      <c r="K11" s="5">
        <f t="shared" si="2"/>
        <v>3.6276522929500343</v>
      </c>
      <c r="L11" s="8" t="s">
        <v>20</v>
      </c>
      <c r="M11" s="8" t="s">
        <v>21</v>
      </c>
      <c r="N11" s="4">
        <v>42107</v>
      </c>
      <c r="O11" s="4">
        <v>43131</v>
      </c>
      <c r="P11" s="13">
        <v>0.58382834299999997</v>
      </c>
      <c r="Q11" s="24" t="s">
        <v>44</v>
      </c>
    </row>
    <row r="12" spans="1:17" ht="16" customHeight="1" x14ac:dyDescent="0.2">
      <c r="A12" s="1" t="s">
        <v>45</v>
      </c>
      <c r="B12" s="1" t="s">
        <v>46</v>
      </c>
      <c r="C12" s="2">
        <v>35988</v>
      </c>
      <c r="D12" s="3">
        <f t="shared" si="0"/>
        <v>4781</v>
      </c>
      <c r="E12" s="4">
        <v>42562</v>
      </c>
      <c r="F12" s="12">
        <v>42665</v>
      </c>
      <c r="G12" s="11">
        <v>103</v>
      </c>
      <c r="H12" s="5" t="s">
        <v>19</v>
      </c>
      <c r="I12" s="8">
        <v>0</v>
      </c>
      <c r="J12" s="6">
        <f t="shared" si="1"/>
        <v>1793</v>
      </c>
      <c r="K12" s="5">
        <f t="shared" si="2"/>
        <v>4.9089664613278572</v>
      </c>
      <c r="L12" s="8" t="s">
        <v>25</v>
      </c>
      <c r="M12" s="8" t="s">
        <v>26</v>
      </c>
      <c r="N12" s="4">
        <v>40769</v>
      </c>
      <c r="O12" s="4">
        <v>43131</v>
      </c>
      <c r="P12" s="14">
        <v>0.32837492000000001</v>
      </c>
      <c r="Q12" s="24" t="s">
        <v>47</v>
      </c>
    </row>
    <row r="13" spans="1:17" ht="16" customHeight="1" x14ac:dyDescent="0.2">
      <c r="A13" s="1" t="s">
        <v>48</v>
      </c>
      <c r="B13" s="1" t="s">
        <v>49</v>
      </c>
      <c r="C13" s="2">
        <v>25890</v>
      </c>
      <c r="D13" s="3">
        <f t="shared" si="0"/>
        <v>16200</v>
      </c>
      <c r="E13" s="4">
        <v>43325</v>
      </c>
      <c r="F13" s="9"/>
      <c r="G13" s="9"/>
      <c r="H13" s="5" t="s">
        <v>19</v>
      </c>
      <c r="I13" s="8">
        <v>0</v>
      </c>
      <c r="J13" s="6">
        <f t="shared" si="1"/>
        <v>1235</v>
      </c>
      <c r="K13" s="5">
        <f t="shared" si="2"/>
        <v>3.3812457221081451</v>
      </c>
      <c r="L13" s="8" t="s">
        <v>20</v>
      </c>
      <c r="M13" s="8" t="s">
        <v>21</v>
      </c>
      <c r="N13" s="4">
        <v>42090</v>
      </c>
      <c r="O13" s="4">
        <v>43131</v>
      </c>
      <c r="P13" s="13">
        <v>0.87262744999999997</v>
      </c>
      <c r="Q13" s="24" t="s">
        <v>50</v>
      </c>
    </row>
    <row r="14" spans="1:17" ht="16" customHeight="1" x14ac:dyDescent="0.2">
      <c r="A14" s="1" t="s">
        <v>51</v>
      </c>
      <c r="B14" s="1" t="s">
        <v>49</v>
      </c>
      <c r="C14" s="2">
        <v>25890</v>
      </c>
      <c r="D14" s="3">
        <f t="shared" si="0"/>
        <v>14150</v>
      </c>
      <c r="E14" s="4">
        <v>41902</v>
      </c>
      <c r="F14" s="12">
        <v>42074</v>
      </c>
      <c r="G14" s="11">
        <v>172</v>
      </c>
      <c r="H14" s="5" t="s">
        <v>19</v>
      </c>
      <c r="I14" s="8">
        <v>0</v>
      </c>
      <c r="J14" s="6">
        <f t="shared" si="1"/>
        <v>1862</v>
      </c>
      <c r="K14" s="5">
        <f t="shared" si="2"/>
        <v>5.0978781656399725</v>
      </c>
      <c r="L14" s="8" t="s">
        <v>20</v>
      </c>
      <c r="M14" s="8" t="s">
        <v>21</v>
      </c>
      <c r="N14" s="4">
        <v>40040</v>
      </c>
      <c r="O14" s="4">
        <v>42325</v>
      </c>
      <c r="P14" s="14">
        <v>0.88035066699999998</v>
      </c>
      <c r="Q14" s="26" t="s">
        <v>32</v>
      </c>
    </row>
    <row r="15" spans="1:17" ht="16" customHeight="1" x14ac:dyDescent="0.2">
      <c r="A15" s="1" t="s">
        <v>52</v>
      </c>
      <c r="B15" s="1" t="s">
        <v>49</v>
      </c>
      <c r="C15" s="2">
        <v>25890</v>
      </c>
      <c r="D15" s="3">
        <f t="shared" si="0"/>
        <v>4202</v>
      </c>
      <c r="E15" s="4">
        <v>31471</v>
      </c>
      <c r="F15" s="9"/>
      <c r="G15" s="9"/>
      <c r="H15" s="5" t="s">
        <v>19</v>
      </c>
      <c r="I15" s="8">
        <v>0</v>
      </c>
      <c r="J15" s="6">
        <f t="shared" si="1"/>
        <v>1379</v>
      </c>
      <c r="K15" s="5">
        <f t="shared" si="2"/>
        <v>3.7754962354551678</v>
      </c>
      <c r="L15" s="8" t="s">
        <v>20</v>
      </c>
      <c r="M15" s="8" t="s">
        <v>26</v>
      </c>
      <c r="N15" s="4">
        <v>30092</v>
      </c>
      <c r="O15" s="4">
        <v>31512</v>
      </c>
      <c r="P15" s="10">
        <v>0.135788134</v>
      </c>
      <c r="Q15" s="18" t="s">
        <v>53</v>
      </c>
    </row>
    <row r="16" spans="1:17" ht="16" customHeight="1" x14ac:dyDescent="0.2">
      <c r="A16" s="1" t="s">
        <v>54</v>
      </c>
      <c r="B16" s="1" t="s">
        <v>55</v>
      </c>
      <c r="C16" s="2">
        <v>33787</v>
      </c>
      <c r="D16" s="3">
        <f t="shared" si="0"/>
        <v>6114</v>
      </c>
      <c r="E16" s="4">
        <v>41914</v>
      </c>
      <c r="F16" s="4">
        <v>42060</v>
      </c>
      <c r="G16" s="5">
        <v>146</v>
      </c>
      <c r="H16" s="5" t="s">
        <v>19</v>
      </c>
      <c r="I16" s="8">
        <v>0</v>
      </c>
      <c r="J16" s="6">
        <f t="shared" si="1"/>
        <v>2013</v>
      </c>
      <c r="K16" s="5">
        <f t="shared" si="2"/>
        <v>5.5112936344969201</v>
      </c>
      <c r="L16" s="8" t="s">
        <v>20</v>
      </c>
      <c r="M16" s="8" t="s">
        <v>21</v>
      </c>
      <c r="N16" s="4">
        <v>39901</v>
      </c>
      <c r="O16" s="4">
        <v>43131</v>
      </c>
      <c r="P16" s="6">
        <v>0.272773865</v>
      </c>
      <c r="Q16" s="26" t="s">
        <v>32</v>
      </c>
    </row>
    <row r="17" spans="1:17" ht="16" customHeight="1" x14ac:dyDescent="0.2">
      <c r="A17" s="1" t="s">
        <v>56</v>
      </c>
      <c r="B17" s="1" t="s">
        <v>57</v>
      </c>
      <c r="C17" s="2">
        <v>26847</v>
      </c>
      <c r="D17" s="3">
        <f t="shared" si="0"/>
        <v>5926</v>
      </c>
      <c r="E17" s="4">
        <v>33851</v>
      </c>
      <c r="F17" s="12">
        <v>34103</v>
      </c>
      <c r="G17" s="11">
        <v>252</v>
      </c>
      <c r="H17" s="5" t="s">
        <v>19</v>
      </c>
      <c r="I17" s="8">
        <v>0</v>
      </c>
      <c r="J17" s="6">
        <f t="shared" si="1"/>
        <v>1078</v>
      </c>
      <c r="K17" s="5">
        <f t="shared" si="2"/>
        <v>2.9514031485284051</v>
      </c>
      <c r="L17" s="8" t="s">
        <v>20</v>
      </c>
      <c r="M17" s="8" t="s">
        <v>21</v>
      </c>
      <c r="N17" s="4">
        <v>32773</v>
      </c>
      <c r="O17" s="4">
        <v>36564</v>
      </c>
      <c r="P17" s="14">
        <v>0.13720866400000001</v>
      </c>
      <c r="Q17" s="26" t="s">
        <v>32</v>
      </c>
    </row>
    <row r="18" spans="1:17" ht="16" customHeight="1" x14ac:dyDescent="0.2">
      <c r="A18" s="1" t="s">
        <v>58</v>
      </c>
      <c r="B18" s="1" t="s">
        <v>59</v>
      </c>
      <c r="C18" s="2">
        <v>24261</v>
      </c>
      <c r="D18" s="3">
        <f t="shared" si="0"/>
        <v>5738</v>
      </c>
      <c r="E18" s="4">
        <v>32049</v>
      </c>
      <c r="F18" s="4">
        <v>33045</v>
      </c>
      <c r="G18" s="5">
        <v>996</v>
      </c>
      <c r="H18" s="5" t="s">
        <v>19</v>
      </c>
      <c r="I18" s="8">
        <v>0</v>
      </c>
      <c r="J18" s="6">
        <f t="shared" si="1"/>
        <v>2050</v>
      </c>
      <c r="K18" s="5">
        <f t="shared" si="2"/>
        <v>5.6125941136208075</v>
      </c>
      <c r="L18" s="8" t="s">
        <v>20</v>
      </c>
      <c r="M18" s="8" t="s">
        <v>26</v>
      </c>
      <c r="N18" s="4">
        <v>29999</v>
      </c>
      <c r="O18" s="4">
        <v>40322</v>
      </c>
      <c r="P18" s="6">
        <v>0.19159231199999999</v>
      </c>
      <c r="Q18" s="26" t="s">
        <v>60</v>
      </c>
    </row>
    <row r="19" spans="1:17" ht="16" customHeight="1" x14ac:dyDescent="0.2">
      <c r="A19" s="1" t="s">
        <v>61</v>
      </c>
      <c r="B19" s="1" t="s">
        <v>62</v>
      </c>
      <c r="C19" s="2">
        <v>30865</v>
      </c>
      <c r="D19" s="3">
        <f t="shared" si="0"/>
        <v>7642</v>
      </c>
      <c r="E19" s="4">
        <v>40918</v>
      </c>
      <c r="F19" s="4">
        <v>41116</v>
      </c>
      <c r="G19" s="5">
        <v>198</v>
      </c>
      <c r="H19" s="5" t="s">
        <v>19</v>
      </c>
      <c r="I19" s="8">
        <v>0</v>
      </c>
      <c r="J19" s="6">
        <f t="shared" si="1"/>
        <v>2411</v>
      </c>
      <c r="K19" s="5">
        <f t="shared" si="2"/>
        <v>6.6009582477754964</v>
      </c>
      <c r="L19" s="8" t="s">
        <v>25</v>
      </c>
      <c r="M19" s="8" t="s">
        <v>21</v>
      </c>
      <c r="N19" s="4">
        <v>38507</v>
      </c>
      <c r="O19" s="4">
        <v>43131</v>
      </c>
      <c r="P19" s="6">
        <v>0.763780287</v>
      </c>
      <c r="Q19" s="26" t="s">
        <v>63</v>
      </c>
    </row>
    <row r="20" spans="1:17" ht="16" customHeight="1" x14ac:dyDescent="0.2">
      <c r="A20" s="1" t="s">
        <v>64</v>
      </c>
      <c r="B20" s="1" t="s">
        <v>65</v>
      </c>
      <c r="C20" s="2">
        <v>22099</v>
      </c>
      <c r="D20" s="3">
        <f t="shared" si="0"/>
        <v>8641</v>
      </c>
      <c r="E20" s="4">
        <v>31855</v>
      </c>
      <c r="F20" s="4">
        <v>31947</v>
      </c>
      <c r="G20" s="5">
        <v>92</v>
      </c>
      <c r="H20" s="5" t="s">
        <v>19</v>
      </c>
      <c r="I20" s="8">
        <v>0</v>
      </c>
      <c r="J20" s="6">
        <f t="shared" si="1"/>
        <v>1115</v>
      </c>
      <c r="K20" s="5">
        <f t="shared" si="2"/>
        <v>3.052703627652293</v>
      </c>
      <c r="L20" s="8" t="s">
        <v>25</v>
      </c>
      <c r="M20" s="8" t="s">
        <v>21</v>
      </c>
      <c r="N20" s="4">
        <v>30740</v>
      </c>
      <c r="O20" s="4">
        <v>43131</v>
      </c>
      <c r="P20" s="6">
        <v>0.37579288100000002</v>
      </c>
      <c r="Q20" s="26" t="s">
        <v>32</v>
      </c>
    </row>
    <row r="21" spans="1:17" ht="16" customHeight="1" x14ac:dyDescent="0.2">
      <c r="A21" s="1" t="s">
        <v>66</v>
      </c>
      <c r="B21" s="1" t="s">
        <v>67</v>
      </c>
      <c r="C21" s="2">
        <v>32691</v>
      </c>
      <c r="D21" s="3">
        <f t="shared" si="0"/>
        <v>5331</v>
      </c>
      <c r="E21" s="4">
        <v>39359</v>
      </c>
      <c r="F21" s="7"/>
      <c r="G21" s="7"/>
      <c r="H21" s="5" t="s">
        <v>19</v>
      </c>
      <c r="I21" s="8">
        <v>0</v>
      </c>
      <c r="J21" s="6">
        <f t="shared" si="1"/>
        <v>1337</v>
      </c>
      <c r="K21" s="5">
        <f t="shared" si="2"/>
        <v>3.6605065023956196</v>
      </c>
      <c r="L21" s="8" t="s">
        <v>25</v>
      </c>
      <c r="M21" s="8" t="s">
        <v>26</v>
      </c>
      <c r="N21" s="4">
        <v>38022</v>
      </c>
      <c r="O21" s="4">
        <v>40884</v>
      </c>
      <c r="P21" s="6">
        <v>0.37945340300000002</v>
      </c>
      <c r="Q21" s="18" t="s">
        <v>68</v>
      </c>
    </row>
    <row r="22" spans="1:17" ht="16" customHeight="1" x14ac:dyDescent="0.2">
      <c r="A22" s="1" t="s">
        <v>69</v>
      </c>
      <c r="B22" s="1" t="s">
        <v>70</v>
      </c>
      <c r="C22" s="2">
        <v>22464</v>
      </c>
      <c r="D22" s="3">
        <f t="shared" si="0"/>
        <v>13970</v>
      </c>
      <c r="E22" s="4">
        <v>38447</v>
      </c>
      <c r="F22" s="9"/>
      <c r="G22" s="9"/>
      <c r="H22" s="5" t="s">
        <v>19</v>
      </c>
      <c r="I22" s="8">
        <v>0</v>
      </c>
      <c r="J22" s="6">
        <f t="shared" si="1"/>
        <v>2013</v>
      </c>
      <c r="K22" s="5">
        <f t="shared" si="2"/>
        <v>5.5112936344969201</v>
      </c>
      <c r="L22" s="8" t="s">
        <v>20</v>
      </c>
      <c r="M22" s="8" t="s">
        <v>21</v>
      </c>
      <c r="N22" s="4">
        <v>36434</v>
      </c>
      <c r="O22" s="4">
        <v>41771</v>
      </c>
      <c r="P22" s="6">
        <v>0.87777808899999998</v>
      </c>
      <c r="Q22" s="18" t="s">
        <v>71</v>
      </c>
    </row>
    <row r="23" spans="1:17" ht="16" customHeight="1" x14ac:dyDescent="0.2">
      <c r="A23" s="1" t="s">
        <v>72</v>
      </c>
      <c r="B23" s="1" t="s">
        <v>73</v>
      </c>
      <c r="C23" s="2">
        <v>18081</v>
      </c>
      <c r="D23" s="3">
        <f t="shared" si="0"/>
        <v>8151</v>
      </c>
      <c r="E23" s="4">
        <v>28302</v>
      </c>
      <c r="F23" s="4">
        <v>28409</v>
      </c>
      <c r="G23" s="5">
        <v>107</v>
      </c>
      <c r="H23" s="5" t="s">
        <v>19</v>
      </c>
      <c r="I23" s="8">
        <v>0</v>
      </c>
      <c r="J23" s="6">
        <f t="shared" si="1"/>
        <v>2070</v>
      </c>
      <c r="K23" s="5">
        <f t="shared" si="2"/>
        <v>5.6673511293634498</v>
      </c>
      <c r="L23" s="8" t="s">
        <v>20</v>
      </c>
      <c r="M23" s="8" t="s">
        <v>21</v>
      </c>
      <c r="N23" s="4">
        <v>26232</v>
      </c>
      <c r="O23" s="4">
        <v>35816</v>
      </c>
      <c r="P23" s="6">
        <v>0.90313407700000004</v>
      </c>
      <c r="Q23" s="26" t="s">
        <v>32</v>
      </c>
    </row>
    <row r="24" spans="1:17" ht="16" customHeight="1" x14ac:dyDescent="0.2">
      <c r="A24" s="1" t="s">
        <v>74</v>
      </c>
      <c r="B24" s="1" t="s">
        <v>75</v>
      </c>
      <c r="C24" s="2">
        <v>26963</v>
      </c>
      <c r="D24" s="3">
        <f t="shared" si="0"/>
        <v>10096</v>
      </c>
      <c r="E24" s="4">
        <v>38905</v>
      </c>
      <c r="F24" s="4">
        <v>38996</v>
      </c>
      <c r="G24" s="5">
        <v>91</v>
      </c>
      <c r="H24" s="5" t="s">
        <v>19</v>
      </c>
      <c r="I24" s="8">
        <v>0</v>
      </c>
      <c r="J24" s="6">
        <f t="shared" si="1"/>
        <v>1846</v>
      </c>
      <c r="K24" s="5">
        <f t="shared" si="2"/>
        <v>5.0540725530458586</v>
      </c>
      <c r="L24" s="8" t="s">
        <v>25</v>
      </c>
      <c r="M24" s="8" t="s">
        <v>21</v>
      </c>
      <c r="N24" s="4">
        <v>37059</v>
      </c>
      <c r="O24" s="4">
        <v>43131</v>
      </c>
      <c r="P24" s="6">
        <v>0.58323861899999996</v>
      </c>
      <c r="Q24" s="26" t="s">
        <v>32</v>
      </c>
    </row>
    <row r="25" spans="1:17" ht="16" customHeight="1" x14ac:dyDescent="0.2">
      <c r="A25" s="1" t="s">
        <v>76</v>
      </c>
      <c r="B25" s="1" t="s">
        <v>77</v>
      </c>
      <c r="C25" s="2">
        <v>21368</v>
      </c>
      <c r="D25" s="3">
        <f t="shared" si="0"/>
        <v>9090</v>
      </c>
      <c r="E25" s="4">
        <v>31815</v>
      </c>
      <c r="F25" s="4">
        <v>33859</v>
      </c>
      <c r="G25" s="5">
        <v>2044</v>
      </c>
      <c r="H25" s="5" t="s">
        <v>19</v>
      </c>
      <c r="I25" s="8">
        <v>0</v>
      </c>
      <c r="J25" s="6">
        <f t="shared" si="1"/>
        <v>1357</v>
      </c>
      <c r="K25" s="5">
        <f t="shared" si="2"/>
        <v>3.7152635181382614</v>
      </c>
      <c r="L25" s="8" t="s">
        <v>20</v>
      </c>
      <c r="M25" s="8" t="s">
        <v>21</v>
      </c>
      <c r="N25" s="4">
        <v>30458</v>
      </c>
      <c r="O25" s="4">
        <v>43131</v>
      </c>
      <c r="P25" s="6">
        <v>0.20771667199999999</v>
      </c>
      <c r="Q25" s="26" t="s">
        <v>78</v>
      </c>
    </row>
    <row r="26" spans="1:17" ht="16" customHeight="1" x14ac:dyDescent="0.2">
      <c r="A26" s="1" t="s">
        <v>79</v>
      </c>
      <c r="B26" s="1" t="s">
        <v>77</v>
      </c>
      <c r="C26" s="2">
        <v>21368</v>
      </c>
      <c r="D26" s="3">
        <f t="shared" si="0"/>
        <v>15683</v>
      </c>
      <c r="E26" s="4">
        <v>39522</v>
      </c>
      <c r="F26" s="4">
        <v>39628</v>
      </c>
      <c r="G26" s="5">
        <v>106</v>
      </c>
      <c r="H26" s="5" t="s">
        <v>19</v>
      </c>
      <c r="I26" s="8">
        <v>0</v>
      </c>
      <c r="J26" s="6">
        <f t="shared" si="1"/>
        <v>2471</v>
      </c>
      <c r="K26" s="5">
        <f t="shared" si="2"/>
        <v>6.7652292950034223</v>
      </c>
      <c r="L26" s="8" t="s">
        <v>20</v>
      </c>
      <c r="M26" s="8" t="s">
        <v>21</v>
      </c>
      <c r="N26" s="4">
        <v>37051</v>
      </c>
      <c r="O26" s="4">
        <v>42086</v>
      </c>
      <c r="P26" s="6">
        <v>0.77436846800000003</v>
      </c>
      <c r="Q26" s="26" t="s">
        <v>32</v>
      </c>
    </row>
    <row r="27" spans="1:17" ht="16" customHeight="1" x14ac:dyDescent="0.2">
      <c r="A27" s="1" t="s">
        <v>80</v>
      </c>
      <c r="B27" s="1" t="s">
        <v>81</v>
      </c>
      <c r="C27" s="2">
        <v>31230</v>
      </c>
      <c r="D27" s="3">
        <f t="shared" si="0"/>
        <v>5587</v>
      </c>
      <c r="E27" s="4">
        <v>37940</v>
      </c>
      <c r="F27" s="9"/>
      <c r="G27" s="9"/>
      <c r="H27" s="5" t="s">
        <v>19</v>
      </c>
      <c r="I27" s="8">
        <v>0</v>
      </c>
      <c r="J27" s="6">
        <f t="shared" si="1"/>
        <v>1123</v>
      </c>
      <c r="K27" s="5">
        <f t="shared" si="2"/>
        <v>3.07460643394935</v>
      </c>
      <c r="L27" s="8" t="s">
        <v>20</v>
      </c>
      <c r="M27" s="8" t="s">
        <v>26</v>
      </c>
      <c r="N27" s="4">
        <v>36817</v>
      </c>
      <c r="O27" s="4">
        <v>38151</v>
      </c>
      <c r="P27" s="6">
        <v>0.298149952</v>
      </c>
      <c r="Q27" s="24" t="s">
        <v>82</v>
      </c>
    </row>
    <row r="28" spans="1:17" ht="16" customHeight="1" x14ac:dyDescent="0.2">
      <c r="A28" s="1" t="s">
        <v>83</v>
      </c>
      <c r="B28" s="1" t="s">
        <v>84</v>
      </c>
      <c r="C28" s="2">
        <v>28673</v>
      </c>
      <c r="D28" s="3">
        <f t="shared" si="0"/>
        <v>9968</v>
      </c>
      <c r="E28" s="4">
        <v>40464</v>
      </c>
      <c r="F28" s="4">
        <v>40626</v>
      </c>
      <c r="G28" s="5">
        <v>162</v>
      </c>
      <c r="H28" s="5" t="s">
        <v>19</v>
      </c>
      <c r="I28" s="8">
        <v>0</v>
      </c>
      <c r="J28" s="6">
        <f t="shared" si="1"/>
        <v>1823</v>
      </c>
      <c r="K28" s="5">
        <f t="shared" si="2"/>
        <v>4.991101984941821</v>
      </c>
      <c r="L28" s="8" t="s">
        <v>20</v>
      </c>
      <c r="M28" s="8" t="s">
        <v>21</v>
      </c>
      <c r="N28" s="4">
        <v>38641</v>
      </c>
      <c r="O28" s="4">
        <v>41193</v>
      </c>
      <c r="P28" s="6">
        <v>0.564046571</v>
      </c>
      <c r="Q28" s="26" t="s">
        <v>32</v>
      </c>
    </row>
    <row r="29" spans="1:17" ht="16" customHeight="1" x14ac:dyDescent="0.2">
      <c r="A29" s="1" t="s">
        <v>85</v>
      </c>
      <c r="B29" s="1" t="s">
        <v>84</v>
      </c>
      <c r="C29" s="2">
        <v>28673</v>
      </c>
      <c r="D29" s="3">
        <f t="shared" si="0"/>
        <v>7803</v>
      </c>
      <c r="E29" s="4">
        <v>38415</v>
      </c>
      <c r="F29" s="4">
        <v>38675</v>
      </c>
      <c r="G29" s="5">
        <v>260</v>
      </c>
      <c r="H29" s="5" t="s">
        <v>19</v>
      </c>
      <c r="I29" s="8">
        <v>0</v>
      </c>
      <c r="J29" s="6">
        <f t="shared" si="1"/>
        <v>1939</v>
      </c>
      <c r="K29" s="5">
        <f t="shared" si="2"/>
        <v>5.3086926762491444</v>
      </c>
      <c r="L29" s="8" t="s">
        <v>25</v>
      </c>
      <c r="M29" s="8" t="s">
        <v>21</v>
      </c>
      <c r="N29" s="4">
        <v>36476</v>
      </c>
      <c r="O29" s="4">
        <v>41144</v>
      </c>
      <c r="P29" s="6">
        <v>0.29003108900000002</v>
      </c>
      <c r="Q29" s="26" t="s">
        <v>86</v>
      </c>
    </row>
    <row r="30" spans="1:17" ht="16" customHeight="1" x14ac:dyDescent="0.2">
      <c r="A30" s="1" t="s">
        <v>87</v>
      </c>
      <c r="B30" s="1" t="s">
        <v>18</v>
      </c>
      <c r="C30" s="2">
        <v>19177</v>
      </c>
      <c r="D30" s="3">
        <f t="shared" si="0"/>
        <v>7660</v>
      </c>
      <c r="E30" s="4">
        <v>28790</v>
      </c>
      <c r="F30" s="4">
        <v>28797</v>
      </c>
      <c r="G30" s="5">
        <f>F30-E30</f>
        <v>7</v>
      </c>
      <c r="H30" s="4">
        <f t="shared" ref="H30:H35" si="3">SUM(E30:F30)/2</f>
        <v>28793.5</v>
      </c>
      <c r="I30" s="8">
        <v>1</v>
      </c>
      <c r="J30" s="6">
        <f t="shared" ref="J30:J66" si="4">H30-N30</f>
        <v>1956.5</v>
      </c>
      <c r="K30" s="5">
        <f t="shared" si="2"/>
        <v>5.3566050650239561</v>
      </c>
      <c r="L30" s="8" t="s">
        <v>25</v>
      </c>
      <c r="M30" s="8" t="s">
        <v>21</v>
      </c>
      <c r="N30" s="4">
        <v>26837</v>
      </c>
      <c r="O30" s="4">
        <v>43131</v>
      </c>
      <c r="P30" s="6">
        <v>0.47492530100000002</v>
      </c>
    </row>
    <row r="31" spans="1:17" ht="16" customHeight="1" x14ac:dyDescent="0.2">
      <c r="A31" s="1" t="s">
        <v>88</v>
      </c>
      <c r="B31" s="1" t="s">
        <v>24</v>
      </c>
      <c r="C31" s="2">
        <v>32326</v>
      </c>
      <c r="D31" s="3">
        <f t="shared" si="0"/>
        <v>8117</v>
      </c>
      <c r="E31" s="4">
        <v>42080</v>
      </c>
      <c r="F31" s="4">
        <v>42087</v>
      </c>
      <c r="G31" s="5">
        <f t="shared" ref="G31:G66" si="5">F31-E31</f>
        <v>7</v>
      </c>
      <c r="H31" s="4">
        <f t="shared" si="3"/>
        <v>42083.5</v>
      </c>
      <c r="I31" s="8">
        <v>1</v>
      </c>
      <c r="J31" s="6">
        <f t="shared" si="4"/>
        <v>1640.5</v>
      </c>
      <c r="K31" s="5">
        <f t="shared" si="2"/>
        <v>4.491444216290212</v>
      </c>
      <c r="L31" s="8" t="s">
        <v>25</v>
      </c>
      <c r="M31" s="8" t="s">
        <v>21</v>
      </c>
      <c r="N31" s="4">
        <v>40443</v>
      </c>
      <c r="O31" s="4">
        <v>43131</v>
      </c>
      <c r="P31" s="6">
        <v>0.37513808500000001</v>
      </c>
    </row>
    <row r="32" spans="1:17" ht="16" customHeight="1" x14ac:dyDescent="0.2">
      <c r="A32" s="1" t="s">
        <v>89</v>
      </c>
      <c r="B32" s="1" t="s">
        <v>24</v>
      </c>
      <c r="C32" s="2">
        <v>32326</v>
      </c>
      <c r="D32" s="3">
        <f t="shared" si="0"/>
        <v>6349</v>
      </c>
      <c r="E32" s="4">
        <v>40433</v>
      </c>
      <c r="F32" s="4">
        <v>40471</v>
      </c>
      <c r="G32" s="5">
        <f t="shared" si="5"/>
        <v>38</v>
      </c>
      <c r="H32" s="4">
        <f t="shared" si="3"/>
        <v>40452</v>
      </c>
      <c r="I32" s="8">
        <v>1</v>
      </c>
      <c r="J32" s="6">
        <f t="shared" si="4"/>
        <v>1777</v>
      </c>
      <c r="K32" s="5">
        <f t="shared" si="2"/>
        <v>4.8651608487337441</v>
      </c>
      <c r="L32" s="8" t="s">
        <v>20</v>
      </c>
      <c r="M32" s="8" t="s">
        <v>26</v>
      </c>
      <c r="N32" s="4">
        <v>38675</v>
      </c>
      <c r="O32" s="4">
        <v>40512</v>
      </c>
      <c r="P32" s="6">
        <v>0.310779272</v>
      </c>
    </row>
    <row r="33" spans="1:17" ht="16" customHeight="1" x14ac:dyDescent="0.2">
      <c r="A33" s="1" t="s">
        <v>90</v>
      </c>
      <c r="B33" s="1" t="s">
        <v>91</v>
      </c>
      <c r="C33" s="2">
        <v>31580</v>
      </c>
      <c r="D33" s="3">
        <f t="shared" si="0"/>
        <v>7130</v>
      </c>
      <c r="E33" s="4">
        <v>40723</v>
      </c>
      <c r="F33" s="4">
        <v>40743</v>
      </c>
      <c r="G33" s="5">
        <f t="shared" si="5"/>
        <v>20</v>
      </c>
      <c r="H33" s="4">
        <f t="shared" si="3"/>
        <v>40733</v>
      </c>
      <c r="I33" s="8">
        <v>1</v>
      </c>
      <c r="J33" s="6">
        <f t="shared" si="4"/>
        <v>2023</v>
      </c>
      <c r="K33" s="5">
        <f t="shared" si="2"/>
        <v>5.5386721423682408</v>
      </c>
      <c r="L33" s="8" t="s">
        <v>25</v>
      </c>
      <c r="M33" s="8" t="s">
        <v>21</v>
      </c>
      <c r="N33" s="4">
        <v>38710</v>
      </c>
      <c r="O33" s="4">
        <v>42846</v>
      </c>
      <c r="P33" s="6">
        <v>0.18387366399999999</v>
      </c>
    </row>
    <row r="34" spans="1:17" ht="16" customHeight="1" x14ac:dyDescent="0.2">
      <c r="A34" s="1" t="s">
        <v>92</v>
      </c>
      <c r="B34" s="1" t="s">
        <v>91</v>
      </c>
      <c r="C34" s="2">
        <v>31580</v>
      </c>
      <c r="D34" s="3">
        <f t="shared" ref="D34:D65" si="6">(N34-C34)</f>
        <v>9182</v>
      </c>
      <c r="E34" s="4">
        <v>43213</v>
      </c>
      <c r="F34" s="15">
        <v>43241</v>
      </c>
      <c r="G34" s="5">
        <f t="shared" si="5"/>
        <v>28</v>
      </c>
      <c r="H34" s="12">
        <f t="shared" si="3"/>
        <v>43227</v>
      </c>
      <c r="I34" s="8">
        <v>1</v>
      </c>
      <c r="J34" s="6">
        <f t="shared" si="4"/>
        <v>2465</v>
      </c>
      <c r="K34" s="5">
        <f t="shared" si="2"/>
        <v>6.7488021902806299</v>
      </c>
      <c r="L34" s="8" t="s">
        <v>20</v>
      </c>
      <c r="M34" s="8" t="s">
        <v>21</v>
      </c>
      <c r="N34" s="4">
        <v>40762</v>
      </c>
      <c r="O34" s="4">
        <v>43220</v>
      </c>
      <c r="P34" s="14">
        <v>0.23712308900000001</v>
      </c>
      <c r="Q34" s="18" t="s">
        <v>93</v>
      </c>
    </row>
    <row r="35" spans="1:17" ht="16" customHeight="1" x14ac:dyDescent="0.2">
      <c r="A35" s="1" t="s">
        <v>94</v>
      </c>
      <c r="B35" s="1" t="s">
        <v>38</v>
      </c>
      <c r="C35" s="2">
        <v>21368</v>
      </c>
      <c r="D35" s="3">
        <f t="shared" si="6"/>
        <v>11267</v>
      </c>
      <c r="E35" s="4">
        <v>33755</v>
      </c>
      <c r="F35" s="4">
        <v>33793</v>
      </c>
      <c r="G35" s="5">
        <f t="shared" si="5"/>
        <v>38</v>
      </c>
      <c r="H35" s="4">
        <f t="shared" si="3"/>
        <v>33774</v>
      </c>
      <c r="I35" s="8">
        <v>1</v>
      </c>
      <c r="J35" s="6">
        <f t="shared" si="4"/>
        <v>1139</v>
      </c>
      <c r="K35" s="5">
        <f t="shared" si="2"/>
        <v>3.1184120465434635</v>
      </c>
      <c r="L35" s="8" t="s">
        <v>20</v>
      </c>
      <c r="M35" s="8" t="s">
        <v>21</v>
      </c>
      <c r="N35" s="4">
        <v>32635</v>
      </c>
      <c r="O35" s="4">
        <v>43131</v>
      </c>
      <c r="P35" s="6">
        <v>0.870468672</v>
      </c>
    </row>
    <row r="36" spans="1:17" ht="16" customHeight="1" x14ac:dyDescent="0.2">
      <c r="A36" s="1" t="s">
        <v>95</v>
      </c>
      <c r="B36" s="1" t="s">
        <v>38</v>
      </c>
      <c r="C36" s="2">
        <v>21368</v>
      </c>
      <c r="D36" s="3">
        <f t="shared" si="6"/>
        <v>12467</v>
      </c>
      <c r="E36" s="12">
        <v>35250</v>
      </c>
      <c r="F36" s="12">
        <v>35251</v>
      </c>
      <c r="G36" s="5">
        <f t="shared" si="5"/>
        <v>1</v>
      </c>
      <c r="H36" s="19">
        <v>35250</v>
      </c>
      <c r="I36" s="8">
        <v>1</v>
      </c>
      <c r="J36" s="6">
        <f t="shared" si="4"/>
        <v>1415</v>
      </c>
      <c r="K36" s="5">
        <f t="shared" si="2"/>
        <v>3.8740588637919235</v>
      </c>
      <c r="L36" s="8" t="s">
        <v>20</v>
      </c>
      <c r="M36" s="8" t="s">
        <v>21</v>
      </c>
      <c r="N36" s="4">
        <v>33835</v>
      </c>
      <c r="O36" s="4">
        <v>43131</v>
      </c>
      <c r="P36" s="6">
        <v>0.87629022099999998</v>
      </c>
    </row>
    <row r="37" spans="1:17" ht="16" customHeight="1" x14ac:dyDescent="0.2">
      <c r="A37" s="1" t="s">
        <v>96</v>
      </c>
      <c r="B37" s="1" t="s">
        <v>38</v>
      </c>
      <c r="C37" s="2">
        <v>21368</v>
      </c>
      <c r="D37" s="3">
        <f t="shared" si="6"/>
        <v>14628</v>
      </c>
      <c r="E37" s="4">
        <v>37525</v>
      </c>
      <c r="F37" s="12">
        <v>37534</v>
      </c>
      <c r="G37" s="5">
        <f t="shared" si="5"/>
        <v>9</v>
      </c>
      <c r="H37" s="4">
        <f t="shared" ref="H37:H66" si="7">SUM(E37:F37)/2</f>
        <v>37529.5</v>
      </c>
      <c r="I37" s="8">
        <v>1</v>
      </c>
      <c r="J37" s="6">
        <f t="shared" si="4"/>
        <v>1533.5</v>
      </c>
      <c r="K37" s="5">
        <f t="shared" si="2"/>
        <v>4.1984941820670771</v>
      </c>
      <c r="L37" s="8" t="s">
        <v>25</v>
      </c>
      <c r="M37" s="8" t="s">
        <v>21</v>
      </c>
      <c r="N37" s="4">
        <v>35996</v>
      </c>
      <c r="O37" s="4">
        <v>43131</v>
      </c>
      <c r="P37" s="14">
        <v>0.98023968100000003</v>
      </c>
    </row>
    <row r="38" spans="1:17" ht="16" customHeight="1" x14ac:dyDescent="0.2">
      <c r="A38" s="1" t="s">
        <v>97</v>
      </c>
      <c r="B38" s="1" t="s">
        <v>38</v>
      </c>
      <c r="C38" s="2">
        <v>21368</v>
      </c>
      <c r="D38" s="3">
        <f t="shared" si="6"/>
        <v>6573</v>
      </c>
      <c r="E38" s="4">
        <v>29643</v>
      </c>
      <c r="F38" s="4">
        <v>29652</v>
      </c>
      <c r="G38" s="5">
        <f t="shared" si="5"/>
        <v>9</v>
      </c>
      <c r="H38" s="4">
        <f t="shared" si="7"/>
        <v>29647.5</v>
      </c>
      <c r="I38" s="8">
        <v>1</v>
      </c>
      <c r="J38" s="6">
        <f t="shared" si="4"/>
        <v>1706.5</v>
      </c>
      <c r="K38" s="5">
        <f t="shared" si="2"/>
        <v>4.6721423682409311</v>
      </c>
      <c r="L38" s="8" t="s">
        <v>20</v>
      </c>
      <c r="M38" s="8" t="s">
        <v>21</v>
      </c>
      <c r="N38" s="4">
        <v>27941</v>
      </c>
      <c r="O38" s="4">
        <v>41588</v>
      </c>
      <c r="P38" s="6">
        <v>0.67913633200000001</v>
      </c>
      <c r="Q38" s="24"/>
    </row>
    <row r="39" spans="1:17" ht="16" customHeight="1" x14ac:dyDescent="0.2">
      <c r="A39" s="1" t="s">
        <v>98</v>
      </c>
      <c r="B39" s="1" t="s">
        <v>37</v>
      </c>
      <c r="C39" s="2">
        <v>29666</v>
      </c>
      <c r="D39" s="3">
        <f t="shared" si="6"/>
        <v>9734</v>
      </c>
      <c r="E39" s="4">
        <v>40422</v>
      </c>
      <c r="F39" s="12">
        <v>40437</v>
      </c>
      <c r="G39" s="5">
        <f t="shared" si="5"/>
        <v>15</v>
      </c>
      <c r="H39" s="4">
        <f t="shared" si="7"/>
        <v>40429.5</v>
      </c>
      <c r="I39" s="8">
        <v>1</v>
      </c>
      <c r="J39" s="6">
        <f t="shared" si="4"/>
        <v>1029.5</v>
      </c>
      <c r="K39" s="5">
        <f t="shared" si="2"/>
        <v>2.8186173853524985</v>
      </c>
      <c r="L39" s="8" t="s">
        <v>25</v>
      </c>
      <c r="M39" s="8" t="s">
        <v>21</v>
      </c>
      <c r="N39" s="4">
        <v>39400</v>
      </c>
      <c r="O39" s="4">
        <v>43131</v>
      </c>
      <c r="P39" s="6">
        <v>0.82871092300000004</v>
      </c>
      <c r="Q39" s="24" t="s">
        <v>99</v>
      </c>
    </row>
    <row r="40" spans="1:17" ht="16" customHeight="1" x14ac:dyDescent="0.2">
      <c r="A40" s="1" t="s">
        <v>100</v>
      </c>
      <c r="B40" s="1" t="s">
        <v>37</v>
      </c>
      <c r="C40" s="2">
        <v>29666</v>
      </c>
      <c r="D40" s="3">
        <f t="shared" si="6"/>
        <v>5744</v>
      </c>
      <c r="E40" s="4">
        <v>36541</v>
      </c>
      <c r="F40" s="4">
        <v>36542</v>
      </c>
      <c r="G40" s="5">
        <f t="shared" si="5"/>
        <v>1</v>
      </c>
      <c r="H40" s="4">
        <f t="shared" si="7"/>
        <v>36541.5</v>
      </c>
      <c r="I40" s="8">
        <v>1</v>
      </c>
      <c r="J40" s="6">
        <f t="shared" si="4"/>
        <v>1131.5</v>
      </c>
      <c r="K40" s="5">
        <f t="shared" si="2"/>
        <v>3.0978781656399725</v>
      </c>
      <c r="L40" s="8" t="s">
        <v>20</v>
      </c>
      <c r="M40" s="8" t="s">
        <v>21</v>
      </c>
      <c r="N40" s="4">
        <v>35410</v>
      </c>
      <c r="O40" s="4">
        <v>43131</v>
      </c>
      <c r="P40" s="6">
        <v>0.50288387400000001</v>
      </c>
    </row>
    <row r="41" spans="1:17" ht="16" customHeight="1" x14ac:dyDescent="0.2">
      <c r="A41" s="1" t="s">
        <v>101</v>
      </c>
      <c r="B41" s="1" t="s">
        <v>37</v>
      </c>
      <c r="C41" s="2">
        <v>29666</v>
      </c>
      <c r="D41" s="3">
        <f t="shared" si="6"/>
        <v>8430</v>
      </c>
      <c r="E41" s="4">
        <v>39333</v>
      </c>
      <c r="F41" s="4">
        <v>39373</v>
      </c>
      <c r="G41" s="5">
        <f t="shared" si="5"/>
        <v>40</v>
      </c>
      <c r="H41" s="4">
        <f t="shared" si="7"/>
        <v>39353</v>
      </c>
      <c r="I41" s="8">
        <v>1</v>
      </c>
      <c r="J41" s="6">
        <f t="shared" si="4"/>
        <v>1257</v>
      </c>
      <c r="K41" s="5">
        <f t="shared" si="2"/>
        <v>3.4414784394250515</v>
      </c>
      <c r="L41" s="8" t="s">
        <v>25</v>
      </c>
      <c r="M41" s="8" t="s">
        <v>21</v>
      </c>
      <c r="N41" s="4">
        <v>38096</v>
      </c>
      <c r="O41" s="4">
        <v>41025</v>
      </c>
      <c r="P41" s="6">
        <v>0.723237354</v>
      </c>
    </row>
    <row r="42" spans="1:17" ht="16" customHeight="1" x14ac:dyDescent="0.2">
      <c r="A42" s="1" t="s">
        <v>102</v>
      </c>
      <c r="B42" s="1" t="s">
        <v>37</v>
      </c>
      <c r="C42" s="2">
        <v>29666</v>
      </c>
      <c r="D42" s="3">
        <f t="shared" si="6"/>
        <v>7007</v>
      </c>
      <c r="E42" s="4">
        <v>37941</v>
      </c>
      <c r="F42" s="4">
        <v>37944</v>
      </c>
      <c r="G42" s="5">
        <f t="shared" si="5"/>
        <v>3</v>
      </c>
      <c r="H42" s="4">
        <f t="shared" si="7"/>
        <v>37942.5</v>
      </c>
      <c r="I42" s="8">
        <v>1</v>
      </c>
      <c r="J42" s="6">
        <f t="shared" si="4"/>
        <v>1269.5</v>
      </c>
      <c r="K42" s="5">
        <f t="shared" si="2"/>
        <v>3.4757015742642028</v>
      </c>
      <c r="L42" s="8" t="s">
        <v>20</v>
      </c>
      <c r="M42" s="8" t="s">
        <v>21</v>
      </c>
      <c r="N42" s="4">
        <v>36673</v>
      </c>
      <c r="O42" s="4">
        <v>43131</v>
      </c>
      <c r="P42" s="6">
        <v>0.59764292500000005</v>
      </c>
    </row>
    <row r="43" spans="1:17" ht="16" customHeight="1" x14ac:dyDescent="0.2">
      <c r="A43" s="1" t="s">
        <v>103</v>
      </c>
      <c r="B43" s="1" t="s">
        <v>37</v>
      </c>
      <c r="C43" s="2">
        <v>29666</v>
      </c>
      <c r="D43" s="3">
        <f t="shared" si="6"/>
        <v>4057</v>
      </c>
      <c r="E43" s="4">
        <v>35020</v>
      </c>
      <c r="F43" s="4">
        <v>35029</v>
      </c>
      <c r="G43" s="5">
        <f t="shared" si="5"/>
        <v>9</v>
      </c>
      <c r="H43" s="4">
        <f t="shared" si="7"/>
        <v>35024.5</v>
      </c>
      <c r="I43" s="8">
        <v>1</v>
      </c>
      <c r="J43" s="6">
        <f t="shared" si="4"/>
        <v>1301.5</v>
      </c>
      <c r="K43" s="5">
        <f t="shared" si="2"/>
        <v>3.5633127994524298</v>
      </c>
      <c r="L43" s="8" t="s">
        <v>20</v>
      </c>
      <c r="M43" s="8" t="s">
        <v>26</v>
      </c>
      <c r="N43" s="4">
        <v>33723</v>
      </c>
      <c r="O43" s="4">
        <v>35331</v>
      </c>
      <c r="P43" s="10">
        <v>0.37931475199999998</v>
      </c>
      <c r="Q43" s="18" t="s">
        <v>104</v>
      </c>
    </row>
    <row r="44" spans="1:17" ht="16" customHeight="1" x14ac:dyDescent="0.2">
      <c r="A44" s="1" t="s">
        <v>105</v>
      </c>
      <c r="B44" s="1" t="s">
        <v>43</v>
      </c>
      <c r="C44" s="2">
        <v>34014</v>
      </c>
      <c r="D44" s="3">
        <f t="shared" si="6"/>
        <v>5954</v>
      </c>
      <c r="E44" s="4">
        <v>41950</v>
      </c>
      <c r="F44" s="4">
        <v>41994</v>
      </c>
      <c r="G44" s="5">
        <f t="shared" si="5"/>
        <v>44</v>
      </c>
      <c r="H44" s="4">
        <f t="shared" si="7"/>
        <v>41972</v>
      </c>
      <c r="I44" s="8">
        <v>1</v>
      </c>
      <c r="J44" s="6">
        <f t="shared" si="4"/>
        <v>2004</v>
      </c>
      <c r="K44" s="5">
        <f t="shared" si="2"/>
        <v>5.4866529774127306</v>
      </c>
      <c r="L44" s="8" t="s">
        <v>20</v>
      </c>
      <c r="M44" s="8" t="s">
        <v>21</v>
      </c>
      <c r="N44" s="4">
        <v>39968</v>
      </c>
      <c r="O44" s="4">
        <v>43131</v>
      </c>
      <c r="P44" s="6">
        <v>0.44431858299999999</v>
      </c>
    </row>
    <row r="45" spans="1:17" ht="16" customHeight="1" x14ac:dyDescent="0.2">
      <c r="A45" s="1" t="s">
        <v>106</v>
      </c>
      <c r="B45" s="1" t="s">
        <v>107</v>
      </c>
      <c r="C45" s="2">
        <v>35988</v>
      </c>
      <c r="D45" s="3">
        <f t="shared" si="6"/>
        <v>5069</v>
      </c>
      <c r="E45" s="4">
        <v>42832</v>
      </c>
      <c r="F45" s="4">
        <v>42912</v>
      </c>
      <c r="G45" s="5">
        <f t="shared" si="5"/>
        <v>80</v>
      </c>
      <c r="H45" s="4">
        <f t="shared" si="7"/>
        <v>42872</v>
      </c>
      <c r="I45" s="8">
        <v>1</v>
      </c>
      <c r="J45" s="6">
        <f t="shared" si="4"/>
        <v>1815</v>
      </c>
      <c r="K45" s="5">
        <f t="shared" si="2"/>
        <v>4.9691991786447636</v>
      </c>
      <c r="L45" s="8" t="s">
        <v>25</v>
      </c>
      <c r="M45" s="8" t="s">
        <v>21</v>
      </c>
      <c r="N45" s="4">
        <v>41057</v>
      </c>
      <c r="O45" s="4">
        <v>43131</v>
      </c>
      <c r="P45" s="6">
        <v>0.177218552</v>
      </c>
    </row>
    <row r="46" spans="1:17" ht="16" customHeight="1" x14ac:dyDescent="0.2">
      <c r="A46" s="1" t="s">
        <v>43</v>
      </c>
      <c r="B46" s="1" t="s">
        <v>49</v>
      </c>
      <c r="C46" s="2">
        <v>25890</v>
      </c>
      <c r="D46" s="3">
        <f t="shared" si="6"/>
        <v>8124</v>
      </c>
      <c r="E46" s="4">
        <v>35506</v>
      </c>
      <c r="F46" s="4">
        <v>35527</v>
      </c>
      <c r="G46" s="5">
        <f t="shared" si="5"/>
        <v>21</v>
      </c>
      <c r="H46" s="4">
        <f t="shared" si="7"/>
        <v>35516.5</v>
      </c>
      <c r="I46" s="8">
        <v>1</v>
      </c>
      <c r="J46" s="6">
        <f t="shared" si="4"/>
        <v>1502.5</v>
      </c>
      <c r="K46" s="5">
        <f t="shared" si="2"/>
        <v>4.1136208076659821</v>
      </c>
      <c r="L46" s="8" t="s">
        <v>25</v>
      </c>
      <c r="M46" s="8" t="s">
        <v>21</v>
      </c>
      <c r="N46" s="4">
        <v>34014</v>
      </c>
      <c r="O46" s="4">
        <v>43131</v>
      </c>
      <c r="P46" s="6">
        <v>0.53764888200000005</v>
      </c>
    </row>
    <row r="47" spans="1:17" ht="16" customHeight="1" x14ac:dyDescent="0.2">
      <c r="A47" s="1" t="s">
        <v>108</v>
      </c>
      <c r="B47" s="1" t="s">
        <v>49</v>
      </c>
      <c r="C47" s="2">
        <v>25890</v>
      </c>
      <c r="D47" s="3">
        <f t="shared" si="6"/>
        <v>6346</v>
      </c>
      <c r="E47" s="4">
        <v>33784</v>
      </c>
      <c r="F47" s="4">
        <v>33785</v>
      </c>
      <c r="G47" s="5">
        <f t="shared" si="5"/>
        <v>1</v>
      </c>
      <c r="H47" s="4">
        <f t="shared" si="7"/>
        <v>33784.5</v>
      </c>
      <c r="I47" s="8">
        <v>1</v>
      </c>
      <c r="J47" s="6">
        <f t="shared" si="4"/>
        <v>1548.5</v>
      </c>
      <c r="K47" s="5">
        <f t="shared" si="2"/>
        <v>4.239561943874059</v>
      </c>
      <c r="L47" s="8" t="s">
        <v>20</v>
      </c>
      <c r="M47" s="8" t="s">
        <v>21</v>
      </c>
      <c r="N47" s="4">
        <v>32236</v>
      </c>
      <c r="O47" s="4">
        <v>36559</v>
      </c>
      <c r="P47" s="6">
        <v>0.33489072399999997</v>
      </c>
    </row>
    <row r="48" spans="1:17" ht="16" customHeight="1" x14ac:dyDescent="0.2">
      <c r="A48" s="1" t="s">
        <v>109</v>
      </c>
      <c r="B48" s="1" t="s">
        <v>49</v>
      </c>
      <c r="C48" s="2">
        <v>25890</v>
      </c>
      <c r="D48" s="3">
        <f t="shared" si="6"/>
        <v>12111</v>
      </c>
      <c r="E48" s="4">
        <v>39940</v>
      </c>
      <c r="F48" s="4">
        <v>39972</v>
      </c>
      <c r="G48" s="5">
        <f t="shared" si="5"/>
        <v>32</v>
      </c>
      <c r="H48" s="4">
        <f t="shared" si="7"/>
        <v>39956</v>
      </c>
      <c r="I48" s="8">
        <v>1</v>
      </c>
      <c r="J48" s="6">
        <f t="shared" si="4"/>
        <v>1955</v>
      </c>
      <c r="K48" s="5">
        <f t="shared" si="2"/>
        <v>5.3524982888432584</v>
      </c>
      <c r="L48" s="8" t="s">
        <v>20</v>
      </c>
      <c r="M48" s="8" t="s">
        <v>21</v>
      </c>
      <c r="N48" s="4">
        <v>38001</v>
      </c>
      <c r="O48" s="4">
        <v>43131</v>
      </c>
      <c r="P48" s="6">
        <v>0.78366872600000004</v>
      </c>
    </row>
    <row r="49" spans="1:17" ht="16" customHeight="1" x14ac:dyDescent="0.2">
      <c r="A49" s="1" t="s">
        <v>110</v>
      </c>
      <c r="B49" s="1" t="s">
        <v>65</v>
      </c>
      <c r="C49" s="2">
        <v>22099</v>
      </c>
      <c r="D49" s="3">
        <f t="shared" si="6"/>
        <v>6237</v>
      </c>
      <c r="E49" s="4">
        <v>30479</v>
      </c>
      <c r="F49" s="4">
        <v>30521</v>
      </c>
      <c r="G49" s="5">
        <f t="shared" si="5"/>
        <v>42</v>
      </c>
      <c r="H49" s="4">
        <f t="shared" si="7"/>
        <v>30500</v>
      </c>
      <c r="I49" s="8">
        <v>1</v>
      </c>
      <c r="J49" s="6">
        <f t="shared" si="4"/>
        <v>2164</v>
      </c>
      <c r="K49" s="5">
        <f t="shared" si="2"/>
        <v>5.9247091033538668</v>
      </c>
      <c r="L49" s="8" t="s">
        <v>20</v>
      </c>
      <c r="M49" s="8" t="s">
        <v>26</v>
      </c>
      <c r="N49" s="4">
        <v>28336</v>
      </c>
      <c r="O49" s="4">
        <v>40831</v>
      </c>
      <c r="P49" s="6">
        <v>0.26234685099999999</v>
      </c>
    </row>
    <row r="50" spans="1:17" ht="16" customHeight="1" x14ac:dyDescent="0.2">
      <c r="A50" s="1" t="s">
        <v>111</v>
      </c>
      <c r="B50" s="1" t="s">
        <v>112</v>
      </c>
      <c r="C50" s="2">
        <v>20638</v>
      </c>
      <c r="D50" s="3">
        <f t="shared" si="6"/>
        <v>7947</v>
      </c>
      <c r="E50" s="4">
        <v>30517</v>
      </c>
      <c r="F50" s="4">
        <v>30524</v>
      </c>
      <c r="G50" s="5">
        <f t="shared" si="5"/>
        <v>7</v>
      </c>
      <c r="H50" s="4">
        <f t="shared" si="7"/>
        <v>30520.5</v>
      </c>
      <c r="I50" s="8">
        <v>1</v>
      </c>
      <c r="J50" s="6">
        <f t="shared" si="4"/>
        <v>1935.5</v>
      </c>
      <c r="K50" s="5">
        <f t="shared" si="2"/>
        <v>5.2991101984941817</v>
      </c>
      <c r="L50" s="8" t="s">
        <v>25</v>
      </c>
      <c r="M50" s="8" t="s">
        <v>21</v>
      </c>
      <c r="N50" s="4">
        <v>28585</v>
      </c>
      <c r="O50" s="4">
        <v>31270</v>
      </c>
      <c r="P50" s="6">
        <v>0.58887090799999997</v>
      </c>
    </row>
    <row r="51" spans="1:17" ht="16" customHeight="1" x14ac:dyDescent="0.2">
      <c r="A51" s="1" t="s">
        <v>113</v>
      </c>
      <c r="B51" s="1" t="s">
        <v>114</v>
      </c>
      <c r="C51" s="2">
        <v>33056</v>
      </c>
      <c r="D51" s="3">
        <f t="shared" si="6"/>
        <v>7394</v>
      </c>
      <c r="E51" s="4">
        <v>42353</v>
      </c>
      <c r="F51" s="12">
        <v>42435</v>
      </c>
      <c r="G51" s="5">
        <f t="shared" si="5"/>
        <v>82</v>
      </c>
      <c r="H51" s="4">
        <f t="shared" si="7"/>
        <v>42394</v>
      </c>
      <c r="I51" s="8">
        <v>1</v>
      </c>
      <c r="J51" s="6">
        <f t="shared" si="4"/>
        <v>1944</v>
      </c>
      <c r="K51" s="5">
        <f t="shared" si="2"/>
        <v>5.3223819301848048</v>
      </c>
      <c r="L51" s="8" t="s">
        <v>20</v>
      </c>
      <c r="M51" s="8" t="s">
        <v>26</v>
      </c>
      <c r="N51" s="4">
        <v>40450</v>
      </c>
      <c r="O51" s="4">
        <v>43131</v>
      </c>
      <c r="P51" s="6">
        <v>0.23517670399999999</v>
      </c>
    </row>
    <row r="52" spans="1:17" ht="16" customHeight="1" x14ac:dyDescent="0.2">
      <c r="A52" s="1" t="s">
        <v>115</v>
      </c>
      <c r="B52" s="1" t="s">
        <v>70</v>
      </c>
      <c r="C52" s="2">
        <v>22464</v>
      </c>
      <c r="D52" s="3">
        <f t="shared" si="6"/>
        <v>8229</v>
      </c>
      <c r="E52" s="4">
        <v>31985</v>
      </c>
      <c r="F52" s="4">
        <v>32047</v>
      </c>
      <c r="G52" s="5">
        <f t="shared" si="5"/>
        <v>62</v>
      </c>
      <c r="H52" s="4">
        <f t="shared" si="7"/>
        <v>32016</v>
      </c>
      <c r="I52" s="8">
        <v>1</v>
      </c>
      <c r="J52" s="6">
        <f t="shared" si="4"/>
        <v>1323</v>
      </c>
      <c r="K52" s="5">
        <f t="shared" si="2"/>
        <v>3.6221765913757702</v>
      </c>
      <c r="L52" s="8" t="s">
        <v>25</v>
      </c>
      <c r="M52" s="8" t="s">
        <v>21</v>
      </c>
      <c r="N52" s="4">
        <v>30693</v>
      </c>
      <c r="O52" s="4">
        <v>43131</v>
      </c>
      <c r="P52" s="14">
        <v>0.45994107099999998</v>
      </c>
    </row>
    <row r="53" spans="1:17" ht="16" customHeight="1" x14ac:dyDescent="0.2">
      <c r="A53" s="1" t="s">
        <v>116</v>
      </c>
      <c r="B53" s="1" t="s">
        <v>70</v>
      </c>
      <c r="C53" s="2">
        <v>22464</v>
      </c>
      <c r="D53" s="3">
        <f t="shared" si="6"/>
        <v>10156</v>
      </c>
      <c r="E53" s="4">
        <v>34040</v>
      </c>
      <c r="F53" s="4">
        <v>34041</v>
      </c>
      <c r="G53" s="5">
        <f t="shared" si="5"/>
        <v>1</v>
      </c>
      <c r="H53" s="4">
        <f t="shared" si="7"/>
        <v>34040.5</v>
      </c>
      <c r="I53" s="8">
        <v>1</v>
      </c>
      <c r="J53" s="6">
        <f t="shared" si="4"/>
        <v>1420.5</v>
      </c>
      <c r="K53" s="5">
        <f t="shared" si="2"/>
        <v>3.8891170431211499</v>
      </c>
      <c r="L53" s="8" t="s">
        <v>25</v>
      </c>
      <c r="M53" s="8" t="s">
        <v>21</v>
      </c>
      <c r="N53" s="4">
        <v>32620</v>
      </c>
      <c r="O53" s="4">
        <v>43131</v>
      </c>
      <c r="P53" s="6">
        <v>0.69656313999999997</v>
      </c>
    </row>
    <row r="54" spans="1:17" ht="16" customHeight="1" x14ac:dyDescent="0.2">
      <c r="A54" s="1" t="s">
        <v>117</v>
      </c>
      <c r="B54" s="1" t="s">
        <v>70</v>
      </c>
      <c r="C54" s="2">
        <v>22464</v>
      </c>
      <c r="D54" s="3">
        <f t="shared" si="6"/>
        <v>6440</v>
      </c>
      <c r="E54" s="4">
        <v>30479</v>
      </c>
      <c r="F54" s="12">
        <v>30533</v>
      </c>
      <c r="G54" s="5">
        <f t="shared" si="5"/>
        <v>54</v>
      </c>
      <c r="H54" s="4">
        <f t="shared" si="7"/>
        <v>30506</v>
      </c>
      <c r="I54" s="8">
        <v>1</v>
      </c>
      <c r="J54" s="6">
        <f t="shared" si="4"/>
        <v>1602</v>
      </c>
      <c r="K54" s="5">
        <f t="shared" si="2"/>
        <v>4.386036960985626</v>
      </c>
      <c r="L54" s="8" t="s">
        <v>20</v>
      </c>
      <c r="M54" s="8" t="s">
        <v>21</v>
      </c>
      <c r="N54" s="4">
        <v>28904</v>
      </c>
      <c r="O54" s="4">
        <v>30670</v>
      </c>
      <c r="P54" s="6">
        <v>0.34234910600000001</v>
      </c>
    </row>
    <row r="55" spans="1:17" ht="16" customHeight="1" x14ac:dyDescent="0.2">
      <c r="A55" s="1" t="s">
        <v>118</v>
      </c>
      <c r="B55" s="1" t="s">
        <v>70</v>
      </c>
      <c r="C55" s="2">
        <v>22464</v>
      </c>
      <c r="D55" s="3">
        <f t="shared" si="6"/>
        <v>12061</v>
      </c>
      <c r="E55" s="4">
        <v>36295</v>
      </c>
      <c r="F55" s="12">
        <v>36299</v>
      </c>
      <c r="G55" s="5">
        <f t="shared" si="5"/>
        <v>4</v>
      </c>
      <c r="H55" s="4">
        <f t="shared" si="7"/>
        <v>36297</v>
      </c>
      <c r="I55" s="8">
        <v>1</v>
      </c>
      <c r="J55" s="6">
        <f t="shared" si="4"/>
        <v>1772</v>
      </c>
      <c r="K55" s="5">
        <f t="shared" si="2"/>
        <v>4.8514715947980838</v>
      </c>
      <c r="L55" s="8" t="s">
        <v>20</v>
      </c>
      <c r="M55" s="8" t="s">
        <v>21</v>
      </c>
      <c r="N55" s="4">
        <v>34525</v>
      </c>
      <c r="O55" s="4">
        <v>42078</v>
      </c>
      <c r="P55" s="6">
        <v>0.83926750000000006</v>
      </c>
    </row>
    <row r="56" spans="1:17" ht="16" customHeight="1" x14ac:dyDescent="0.2">
      <c r="A56" s="1" t="s">
        <v>119</v>
      </c>
      <c r="B56" s="1" t="s">
        <v>120</v>
      </c>
      <c r="C56" s="2">
        <v>19177</v>
      </c>
      <c r="D56" s="3">
        <f t="shared" si="6"/>
        <v>9153</v>
      </c>
      <c r="E56" s="4">
        <v>30181</v>
      </c>
      <c r="F56" s="4">
        <v>30216</v>
      </c>
      <c r="G56" s="5">
        <f t="shared" si="5"/>
        <v>35</v>
      </c>
      <c r="H56" s="4">
        <f t="shared" si="7"/>
        <v>30198.5</v>
      </c>
      <c r="I56" s="8">
        <v>1</v>
      </c>
      <c r="J56" s="6">
        <f t="shared" si="4"/>
        <v>1868.5</v>
      </c>
      <c r="K56" s="5">
        <f t="shared" si="2"/>
        <v>5.1156741957563314</v>
      </c>
      <c r="L56" s="8" t="s">
        <v>25</v>
      </c>
      <c r="M56" s="8" t="s">
        <v>21</v>
      </c>
      <c r="N56" s="4">
        <v>28330</v>
      </c>
      <c r="O56" s="4">
        <v>30462</v>
      </c>
      <c r="P56" s="6">
        <v>0.23622151999999999</v>
      </c>
    </row>
    <row r="57" spans="1:17" ht="16" customHeight="1" x14ac:dyDescent="0.2">
      <c r="A57" s="1" t="s">
        <v>121</v>
      </c>
      <c r="B57" s="1" t="s">
        <v>73</v>
      </c>
      <c r="C57" s="2">
        <v>18081</v>
      </c>
      <c r="D57" s="3">
        <f t="shared" si="6"/>
        <v>10394</v>
      </c>
      <c r="E57" s="4">
        <v>29990</v>
      </c>
      <c r="F57" s="4">
        <v>30035</v>
      </c>
      <c r="G57" s="5">
        <f t="shared" si="5"/>
        <v>45</v>
      </c>
      <c r="H57" s="4">
        <f t="shared" si="7"/>
        <v>30012.5</v>
      </c>
      <c r="I57" s="8">
        <v>1</v>
      </c>
      <c r="J57" s="6">
        <f t="shared" si="4"/>
        <v>1537.5</v>
      </c>
      <c r="K57" s="5">
        <f t="shared" si="2"/>
        <v>4.2094455852156054</v>
      </c>
      <c r="L57" s="8" t="s">
        <v>20</v>
      </c>
      <c r="M57" s="8" t="s">
        <v>21</v>
      </c>
      <c r="N57" s="4">
        <v>28475</v>
      </c>
      <c r="O57" s="4">
        <v>42256</v>
      </c>
      <c r="P57" s="6">
        <v>0.91492078099999996</v>
      </c>
    </row>
    <row r="58" spans="1:17" ht="16" customHeight="1" x14ac:dyDescent="0.2">
      <c r="A58" s="1" t="s">
        <v>122</v>
      </c>
      <c r="B58" s="1" t="s">
        <v>75</v>
      </c>
      <c r="C58" s="2">
        <v>26963</v>
      </c>
      <c r="D58" s="3">
        <f t="shared" si="6"/>
        <v>8246</v>
      </c>
      <c r="E58" s="4">
        <v>36877</v>
      </c>
      <c r="F58" s="4">
        <v>36878</v>
      </c>
      <c r="G58" s="5">
        <f t="shared" si="5"/>
        <v>1</v>
      </c>
      <c r="H58" s="4">
        <f t="shared" si="7"/>
        <v>36877.5</v>
      </c>
      <c r="I58" s="8">
        <v>1</v>
      </c>
      <c r="J58" s="6">
        <f t="shared" si="4"/>
        <v>1668.5</v>
      </c>
      <c r="K58" s="5">
        <f t="shared" si="2"/>
        <v>4.5681040383299107</v>
      </c>
      <c r="L58" s="8" t="s">
        <v>20</v>
      </c>
      <c r="M58" s="8" t="s">
        <v>21</v>
      </c>
      <c r="N58" s="4">
        <v>35209</v>
      </c>
      <c r="O58" s="4">
        <v>43131</v>
      </c>
      <c r="P58" s="6">
        <v>0.42157387499999999</v>
      </c>
    </row>
    <row r="59" spans="1:17" ht="16" customHeight="1" x14ac:dyDescent="0.2">
      <c r="A59" s="1" t="s">
        <v>123</v>
      </c>
      <c r="B59" s="1" t="s">
        <v>75</v>
      </c>
      <c r="C59" s="2">
        <v>26963</v>
      </c>
      <c r="D59" s="3">
        <f t="shared" si="6"/>
        <v>12067</v>
      </c>
      <c r="E59" s="4">
        <v>41940</v>
      </c>
      <c r="F59" s="4">
        <v>41972</v>
      </c>
      <c r="G59" s="5">
        <f t="shared" si="5"/>
        <v>32</v>
      </c>
      <c r="H59" s="4">
        <f t="shared" si="7"/>
        <v>41956</v>
      </c>
      <c r="I59" s="8">
        <v>1</v>
      </c>
      <c r="J59" s="6">
        <f t="shared" si="4"/>
        <v>2926</v>
      </c>
      <c r="K59" s="5">
        <f t="shared" si="2"/>
        <v>8.0109514031485283</v>
      </c>
      <c r="L59" s="8" t="s">
        <v>20</v>
      </c>
      <c r="M59" s="8" t="s">
        <v>21</v>
      </c>
      <c r="N59" s="4">
        <v>39030</v>
      </c>
      <c r="O59" s="4">
        <v>43131</v>
      </c>
      <c r="P59" s="6">
        <v>0.76515289900000005</v>
      </c>
      <c r="Q59" s="24" t="s">
        <v>124</v>
      </c>
    </row>
    <row r="60" spans="1:17" ht="16" customHeight="1" x14ac:dyDescent="0.2">
      <c r="A60" s="1" t="s">
        <v>125</v>
      </c>
      <c r="B60" s="1" t="s">
        <v>75</v>
      </c>
      <c r="C60" s="2">
        <v>26963</v>
      </c>
      <c r="D60" s="3">
        <f t="shared" si="6"/>
        <v>6300</v>
      </c>
      <c r="E60" s="12">
        <v>35129</v>
      </c>
      <c r="F60" s="12">
        <v>35130</v>
      </c>
      <c r="G60" s="5">
        <f t="shared" si="5"/>
        <v>1</v>
      </c>
      <c r="H60" s="4">
        <f t="shared" si="7"/>
        <v>35129.5</v>
      </c>
      <c r="I60" s="8">
        <v>1</v>
      </c>
      <c r="J60" s="6">
        <f t="shared" si="4"/>
        <v>1866.5</v>
      </c>
      <c r="K60" s="5">
        <f t="shared" si="2"/>
        <v>5.1101984941820673</v>
      </c>
      <c r="L60" s="8" t="s">
        <v>25</v>
      </c>
      <c r="M60" s="8" t="s">
        <v>26</v>
      </c>
      <c r="N60" s="4">
        <v>33263</v>
      </c>
      <c r="O60" s="4">
        <v>39026</v>
      </c>
      <c r="P60" s="6">
        <v>0.26313076200000002</v>
      </c>
    </row>
    <row r="61" spans="1:17" ht="16" customHeight="1" x14ac:dyDescent="0.2">
      <c r="A61" s="1" t="s">
        <v>126</v>
      </c>
      <c r="B61" s="1" t="s">
        <v>127</v>
      </c>
      <c r="C61" s="2">
        <v>33343</v>
      </c>
      <c r="D61" s="3">
        <f t="shared" si="6"/>
        <v>7873</v>
      </c>
      <c r="E61" s="4">
        <v>42777</v>
      </c>
      <c r="F61" s="4">
        <v>42800</v>
      </c>
      <c r="G61" s="5">
        <f t="shared" si="5"/>
        <v>23</v>
      </c>
      <c r="H61" s="4">
        <f t="shared" si="7"/>
        <v>42788.5</v>
      </c>
      <c r="I61" s="8">
        <v>1</v>
      </c>
      <c r="J61" s="6">
        <f t="shared" si="4"/>
        <v>1572.5</v>
      </c>
      <c r="K61" s="5">
        <f t="shared" si="2"/>
        <v>4.3052703627652296</v>
      </c>
      <c r="L61" s="8" t="s">
        <v>20</v>
      </c>
      <c r="M61" s="8" t="s">
        <v>21</v>
      </c>
      <c r="N61" s="4">
        <v>41216</v>
      </c>
      <c r="O61" s="4">
        <v>43131</v>
      </c>
      <c r="P61" s="6">
        <v>0.22055815500000001</v>
      </c>
    </row>
    <row r="62" spans="1:17" ht="16" customHeight="1" x14ac:dyDescent="0.2">
      <c r="A62" s="1" t="s">
        <v>127</v>
      </c>
      <c r="B62" s="1" t="s">
        <v>77</v>
      </c>
      <c r="C62" s="2">
        <v>21368</v>
      </c>
      <c r="D62" s="3">
        <f t="shared" si="6"/>
        <v>11975</v>
      </c>
      <c r="E62" s="12">
        <v>35094</v>
      </c>
      <c r="F62" s="4">
        <v>35135</v>
      </c>
      <c r="G62" s="5">
        <f t="shared" si="5"/>
        <v>41</v>
      </c>
      <c r="H62" s="4">
        <f t="shared" si="7"/>
        <v>35114.5</v>
      </c>
      <c r="I62" s="8">
        <v>1</v>
      </c>
      <c r="J62" s="6">
        <f t="shared" si="4"/>
        <v>1771.5</v>
      </c>
      <c r="K62" s="5">
        <f t="shared" si="2"/>
        <v>4.8501026694045173</v>
      </c>
      <c r="L62" s="8" t="s">
        <v>25</v>
      </c>
      <c r="M62" s="8" t="s">
        <v>21</v>
      </c>
      <c r="N62" s="4">
        <v>33343</v>
      </c>
      <c r="O62" s="4">
        <v>43131</v>
      </c>
      <c r="P62" s="6">
        <v>0.54040727700000002</v>
      </c>
    </row>
    <row r="63" spans="1:17" ht="16" customHeight="1" x14ac:dyDescent="0.2">
      <c r="A63" s="1" t="s">
        <v>128</v>
      </c>
      <c r="B63" s="1" t="s">
        <v>116</v>
      </c>
      <c r="C63" s="2">
        <v>32620</v>
      </c>
      <c r="D63" s="3">
        <f t="shared" si="6"/>
        <v>6349</v>
      </c>
      <c r="E63" s="4">
        <v>40667</v>
      </c>
      <c r="F63" s="4">
        <v>40710</v>
      </c>
      <c r="G63" s="5">
        <f t="shared" si="5"/>
        <v>43</v>
      </c>
      <c r="H63" s="4">
        <f t="shared" si="7"/>
        <v>40688.5</v>
      </c>
      <c r="I63" s="8">
        <v>1</v>
      </c>
      <c r="J63" s="6">
        <f t="shared" si="4"/>
        <v>1719.5</v>
      </c>
      <c r="K63" s="5">
        <f t="shared" si="2"/>
        <v>4.707734428473648</v>
      </c>
      <c r="L63" s="8" t="s">
        <v>25</v>
      </c>
      <c r="M63" s="8" t="s">
        <v>21</v>
      </c>
      <c r="N63" s="4">
        <v>38969</v>
      </c>
      <c r="O63" s="4">
        <v>42279</v>
      </c>
      <c r="P63" s="6">
        <v>0.396399259</v>
      </c>
    </row>
    <row r="64" spans="1:17" ht="16" customHeight="1" x14ac:dyDescent="0.2">
      <c r="A64" s="1" t="s">
        <v>129</v>
      </c>
      <c r="B64" s="1" t="s">
        <v>116</v>
      </c>
      <c r="C64" s="2">
        <v>32620</v>
      </c>
      <c r="D64" s="3">
        <f t="shared" si="6"/>
        <v>4337</v>
      </c>
      <c r="E64" s="4">
        <v>38873</v>
      </c>
      <c r="F64" s="4">
        <v>38942</v>
      </c>
      <c r="G64" s="5">
        <f t="shared" si="5"/>
        <v>69</v>
      </c>
      <c r="H64" s="4">
        <f t="shared" si="7"/>
        <v>38907.5</v>
      </c>
      <c r="I64" s="8">
        <v>1</v>
      </c>
      <c r="J64" s="6">
        <f t="shared" si="4"/>
        <v>1950.5</v>
      </c>
      <c r="K64" s="5">
        <f t="shared" si="2"/>
        <v>5.3401779603011637</v>
      </c>
      <c r="L64" s="8" t="s">
        <v>20</v>
      </c>
      <c r="M64" s="8" t="s">
        <v>26</v>
      </c>
      <c r="N64" s="4">
        <v>36957</v>
      </c>
      <c r="O64" s="4">
        <v>43131</v>
      </c>
      <c r="P64" s="10">
        <v>0.18213190600000001</v>
      </c>
      <c r="Q64" s="18" t="s">
        <v>130</v>
      </c>
    </row>
    <row r="65" spans="1:16" ht="16" customHeight="1" x14ac:dyDescent="0.2">
      <c r="A65" s="1" t="s">
        <v>131</v>
      </c>
      <c r="B65" s="1" t="s">
        <v>132</v>
      </c>
      <c r="C65" s="2">
        <v>21368</v>
      </c>
      <c r="D65" s="3">
        <f t="shared" si="6"/>
        <v>7485</v>
      </c>
      <c r="E65" s="4">
        <v>30916</v>
      </c>
      <c r="F65" s="12">
        <v>30921</v>
      </c>
      <c r="G65" s="5">
        <f t="shared" si="5"/>
        <v>5</v>
      </c>
      <c r="H65" s="4">
        <f t="shared" si="7"/>
        <v>30918.5</v>
      </c>
      <c r="I65" s="8">
        <v>1</v>
      </c>
      <c r="J65" s="6">
        <f t="shared" si="4"/>
        <v>2065.5</v>
      </c>
      <c r="K65" s="5">
        <f t="shared" si="2"/>
        <v>5.655030800821355</v>
      </c>
      <c r="L65" s="8" t="s">
        <v>25</v>
      </c>
      <c r="M65" s="8" t="s">
        <v>21</v>
      </c>
      <c r="N65" s="4">
        <v>28853</v>
      </c>
      <c r="O65" s="4">
        <v>33012</v>
      </c>
      <c r="P65" s="6">
        <v>0.53551064199999998</v>
      </c>
    </row>
    <row r="66" spans="1:16" ht="16" customHeight="1" x14ac:dyDescent="0.2">
      <c r="A66" s="1" t="s">
        <v>133</v>
      </c>
      <c r="B66" s="1" t="s">
        <v>132</v>
      </c>
      <c r="C66" s="2">
        <v>21368</v>
      </c>
      <c r="D66" s="3">
        <f t="shared" ref="D66" si="8">(N66-C66)</f>
        <v>5225</v>
      </c>
      <c r="E66" s="4">
        <v>28675</v>
      </c>
      <c r="F66" s="4">
        <v>28690</v>
      </c>
      <c r="G66" s="5">
        <f t="shared" si="5"/>
        <v>15</v>
      </c>
      <c r="H66" s="4">
        <f t="shared" si="7"/>
        <v>28682.5</v>
      </c>
      <c r="I66" s="8">
        <v>1</v>
      </c>
      <c r="J66" s="6">
        <f t="shared" si="4"/>
        <v>2089.5</v>
      </c>
      <c r="K66" s="5">
        <f t="shared" si="2"/>
        <v>5.7207392197125255</v>
      </c>
      <c r="L66" s="8" t="s">
        <v>20</v>
      </c>
      <c r="M66" s="8" t="s">
        <v>26</v>
      </c>
      <c r="N66" s="4">
        <v>26593</v>
      </c>
      <c r="O66" s="4">
        <v>41283</v>
      </c>
      <c r="P66" s="6">
        <v>0.53048641200000002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9898-9889-4B16-9F94-54A5667BE783}">
  <dimension ref="A1:B18"/>
  <sheetViews>
    <sheetView tabSelected="1" workbookViewId="0">
      <selection activeCell="I25" sqref="I25"/>
    </sheetView>
  </sheetViews>
  <sheetFormatPr baseColWidth="10" defaultColWidth="8.83203125" defaultRowHeight="15" x14ac:dyDescent="0.2"/>
  <sheetData>
    <row r="1" spans="1:2" x14ac:dyDescent="0.2">
      <c r="A1" t="s">
        <v>134</v>
      </c>
      <c r="B1" t="s">
        <v>135</v>
      </c>
    </row>
    <row r="2" spans="1:2" x14ac:dyDescent="0.2">
      <c r="A2" s="20" t="s">
        <v>0</v>
      </c>
      <c r="B2" t="s">
        <v>137</v>
      </c>
    </row>
    <row r="3" spans="1:2" x14ac:dyDescent="0.2">
      <c r="A3" s="20" t="s">
        <v>1</v>
      </c>
      <c r="B3" t="s">
        <v>136</v>
      </c>
    </row>
    <row r="4" spans="1:2" x14ac:dyDescent="0.2">
      <c r="A4" s="20" t="s">
        <v>2</v>
      </c>
      <c r="B4" t="s">
        <v>138</v>
      </c>
    </row>
    <row r="5" spans="1:2" x14ac:dyDescent="0.2">
      <c r="A5" s="21" t="s">
        <v>3</v>
      </c>
      <c r="B5" t="s">
        <v>150</v>
      </c>
    </row>
    <row r="6" spans="1:2" x14ac:dyDescent="0.2">
      <c r="A6" s="22" t="s">
        <v>4</v>
      </c>
      <c r="B6" t="s">
        <v>139</v>
      </c>
    </row>
    <row r="7" spans="1:2" x14ac:dyDescent="0.2">
      <c r="A7" s="22" t="s">
        <v>5</v>
      </c>
      <c r="B7" t="s">
        <v>140</v>
      </c>
    </row>
    <row r="8" spans="1:2" x14ac:dyDescent="0.2">
      <c r="A8" s="22" t="s">
        <v>6</v>
      </c>
    </row>
    <row r="9" spans="1:2" x14ac:dyDescent="0.2">
      <c r="A9" s="27" t="s">
        <v>7</v>
      </c>
      <c r="B9" t="s">
        <v>141</v>
      </c>
    </row>
    <row r="10" spans="1:2" x14ac:dyDescent="0.2">
      <c r="A10" s="22" t="s">
        <v>8</v>
      </c>
      <c r="B10" t="s">
        <v>142</v>
      </c>
    </row>
    <row r="11" spans="1:2" x14ac:dyDescent="0.2">
      <c r="A11" s="22" t="s">
        <v>9</v>
      </c>
      <c r="B11" t="s">
        <v>143</v>
      </c>
    </row>
    <row r="12" spans="1:2" x14ac:dyDescent="0.2">
      <c r="A12" s="27" t="s">
        <v>10</v>
      </c>
      <c r="B12" t="s">
        <v>144</v>
      </c>
    </row>
    <row r="13" spans="1:2" x14ac:dyDescent="0.2">
      <c r="A13" s="22" t="s">
        <v>11</v>
      </c>
      <c r="B13" t="s">
        <v>145</v>
      </c>
    </row>
    <row r="14" spans="1:2" x14ac:dyDescent="0.2">
      <c r="A14" s="22" t="s">
        <v>12</v>
      </c>
      <c r="B14" t="s">
        <v>146</v>
      </c>
    </row>
    <row r="15" spans="1:2" x14ac:dyDescent="0.2">
      <c r="A15" s="22" t="s">
        <v>13</v>
      </c>
      <c r="B15" t="s">
        <v>147</v>
      </c>
    </row>
    <row r="16" spans="1:2" x14ac:dyDescent="0.2">
      <c r="A16" s="22" t="s">
        <v>14</v>
      </c>
      <c r="B16" t="s">
        <v>148</v>
      </c>
    </row>
    <row r="17" spans="1:2" x14ac:dyDescent="0.2">
      <c r="A17" s="22" t="s">
        <v>15</v>
      </c>
      <c r="B17" t="s">
        <v>149</v>
      </c>
    </row>
    <row r="18" spans="1:2" x14ac:dyDescent="0.2">
      <c r="A18" s="28" t="s">
        <v>16</v>
      </c>
      <c r="B18" s="2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definitions</vt:lpstr>
    </vt:vector>
  </TitlesOfParts>
  <Manager/>
  <Company>Franklin &amp; Marshall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V. Lonsdorf</dc:creator>
  <cp:keywords/>
  <dc:description/>
  <cp:lastModifiedBy>Amy H Herring (she/her/hers)</cp:lastModifiedBy>
  <cp:revision/>
  <dcterms:created xsi:type="dcterms:W3CDTF">2019-03-22T01:45:56Z</dcterms:created>
  <dcterms:modified xsi:type="dcterms:W3CDTF">2026-10-16T14:39:02Z</dcterms:modified>
  <cp:category/>
  <cp:contentStatus/>
</cp:coreProperties>
</file>